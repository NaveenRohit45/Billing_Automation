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B4C29155-C18B-4DE3-912D-948428CEA65F}" xr6:coauthVersionLast="47" xr6:coauthVersionMax="47" xr10:uidLastSave="{00000000-0000-0000-0000-000000000000}"/>
  <bookViews>
    <workbookView xWindow="-110" yWindow="-110" windowWidth="19420" windowHeight="10300" xr2:uid="{A07BACA7-7AEA-4C5F-9A81-A95743948C45}"/>
  </bookViews>
  <sheets>
    <sheet name="Sheet1" sheetId="1" r:id="rId1"/>
  </sheets>
  <definedNames>
    <definedName name="_hs_0df1e77537954e2cb9ae128180bc0cd6" localSheetId="0">Sheet1!$B$46</definedName>
    <definedName name="_xlnm.Print_Area" localSheetId="0">Sheet1!$A$1:$J$218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" l="1"/>
  <c r="H214" i="1" l="1"/>
  <c r="D214" i="1"/>
  <c r="B214" i="1"/>
  <c r="F213" i="1"/>
  <c r="J213" i="1" s="1"/>
  <c r="F212" i="1"/>
  <c r="J212" i="1" s="1"/>
  <c r="F211" i="1"/>
  <c r="J211" i="1" s="1"/>
  <c r="H207" i="1"/>
  <c r="D207" i="1"/>
  <c r="B207" i="1"/>
  <c r="F206" i="1"/>
  <c r="J206" i="1" s="1"/>
  <c r="F205" i="1"/>
  <c r="J205" i="1" s="1"/>
  <c r="F204" i="1"/>
  <c r="F207" i="1" s="1"/>
  <c r="H200" i="1"/>
  <c r="D200" i="1"/>
  <c r="B200" i="1"/>
  <c r="F199" i="1"/>
  <c r="J199" i="1" s="1"/>
  <c r="F198" i="1"/>
  <c r="J198" i="1" s="1"/>
  <c r="F197" i="1"/>
  <c r="H193" i="1"/>
  <c r="D193" i="1"/>
  <c r="B193" i="1"/>
  <c r="F192" i="1"/>
  <c r="J192" i="1" s="1"/>
  <c r="F191" i="1"/>
  <c r="J191" i="1" s="1"/>
  <c r="F190" i="1"/>
  <c r="F193" i="1" s="1"/>
  <c r="H186" i="1"/>
  <c r="D186" i="1"/>
  <c r="B186" i="1"/>
  <c r="F185" i="1"/>
  <c r="J185" i="1" s="1"/>
  <c r="F184" i="1"/>
  <c r="J184" i="1" s="1"/>
  <c r="F183" i="1"/>
  <c r="H179" i="1"/>
  <c r="D179" i="1"/>
  <c r="B179" i="1"/>
  <c r="F178" i="1"/>
  <c r="J178" i="1" s="1"/>
  <c r="F177" i="1"/>
  <c r="J177" i="1" s="1"/>
  <c r="F176" i="1"/>
  <c r="J176" i="1" s="1"/>
  <c r="H172" i="1"/>
  <c r="D172" i="1"/>
  <c r="B172" i="1"/>
  <c r="F171" i="1"/>
  <c r="J171" i="1" s="1"/>
  <c r="F170" i="1"/>
  <c r="J170" i="1" s="1"/>
  <c r="F169" i="1"/>
  <c r="J169" i="1" s="1"/>
  <c r="H165" i="1"/>
  <c r="D165" i="1"/>
  <c r="B165" i="1"/>
  <c r="F164" i="1"/>
  <c r="J164" i="1" s="1"/>
  <c r="F163" i="1"/>
  <c r="J163" i="1" s="1"/>
  <c r="F162" i="1"/>
  <c r="D158" i="1"/>
  <c r="B158" i="1"/>
  <c r="F157" i="1"/>
  <c r="J157" i="1" s="1"/>
  <c r="F156" i="1"/>
  <c r="J156" i="1" s="1"/>
  <c r="F155" i="1"/>
  <c r="H151" i="1"/>
  <c r="D151" i="1"/>
  <c r="B151" i="1"/>
  <c r="F150" i="1"/>
  <c r="J150" i="1" s="1"/>
  <c r="F149" i="1"/>
  <c r="J149" i="1" s="1"/>
  <c r="F148" i="1"/>
  <c r="J148" i="1" s="1"/>
  <c r="H144" i="1"/>
  <c r="D144" i="1"/>
  <c r="B144" i="1"/>
  <c r="F143" i="1"/>
  <c r="J143" i="1" s="1"/>
  <c r="F142" i="1"/>
  <c r="J142" i="1" s="1"/>
  <c r="F141" i="1"/>
  <c r="J141" i="1" s="1"/>
  <c r="H137" i="1"/>
  <c r="D137" i="1"/>
  <c r="B137" i="1"/>
  <c r="F136" i="1"/>
  <c r="J136" i="1" s="1"/>
  <c r="F135" i="1"/>
  <c r="J135" i="1" s="1"/>
  <c r="F134" i="1"/>
  <c r="H130" i="1"/>
  <c r="D130" i="1"/>
  <c r="B130" i="1"/>
  <c r="F129" i="1"/>
  <c r="J129" i="1" s="1"/>
  <c r="F128" i="1"/>
  <c r="J128" i="1" s="1"/>
  <c r="F127" i="1"/>
  <c r="J127" i="1" s="1"/>
  <c r="H123" i="1"/>
  <c r="D123" i="1"/>
  <c r="B123" i="1"/>
  <c r="F122" i="1"/>
  <c r="J122" i="1" s="1"/>
  <c r="F121" i="1"/>
  <c r="J121" i="1" s="1"/>
  <c r="F120" i="1"/>
  <c r="H116" i="1"/>
  <c r="D116" i="1"/>
  <c r="B116" i="1"/>
  <c r="F115" i="1"/>
  <c r="J115" i="1" s="1"/>
  <c r="F114" i="1"/>
  <c r="H110" i="1"/>
  <c r="D110" i="1"/>
  <c r="B110" i="1"/>
  <c r="F109" i="1"/>
  <c r="J109" i="1" s="1"/>
  <c r="F108" i="1"/>
  <c r="J108" i="1" s="1"/>
  <c r="F107" i="1"/>
  <c r="H103" i="1"/>
  <c r="D103" i="1"/>
  <c r="B103" i="1"/>
  <c r="F102" i="1"/>
  <c r="J102" i="1" s="1"/>
  <c r="F101" i="1"/>
  <c r="J101" i="1" s="1"/>
  <c r="F100" i="1"/>
  <c r="J100" i="1" s="1"/>
  <c r="H96" i="1"/>
  <c r="D96" i="1"/>
  <c r="B96" i="1"/>
  <c r="F95" i="1"/>
  <c r="J95" i="1" s="1"/>
  <c r="F94" i="1"/>
  <c r="J94" i="1" s="1"/>
  <c r="F93" i="1"/>
  <c r="J93" i="1" s="1"/>
  <c r="H89" i="1"/>
  <c r="D89" i="1"/>
  <c r="B89" i="1"/>
  <c r="F88" i="1"/>
  <c r="J88" i="1" s="1"/>
  <c r="F87" i="1"/>
  <c r="J87" i="1" s="1"/>
  <c r="F86" i="1"/>
  <c r="J86" i="1" s="1"/>
  <c r="H82" i="1"/>
  <c r="D82" i="1"/>
  <c r="B82" i="1"/>
  <c r="F81" i="1"/>
  <c r="J81" i="1" s="1"/>
  <c r="F80" i="1"/>
  <c r="J80" i="1" s="1"/>
  <c r="F79" i="1"/>
  <c r="J79" i="1" s="1"/>
  <c r="H75" i="1"/>
  <c r="D75" i="1"/>
  <c r="B75" i="1"/>
  <c r="F74" i="1"/>
  <c r="J74" i="1" s="1"/>
  <c r="F73" i="1"/>
  <c r="J73" i="1" s="1"/>
  <c r="F72" i="1"/>
  <c r="J72" i="1" s="1"/>
  <c r="H68" i="1"/>
  <c r="D68" i="1"/>
  <c r="B68" i="1"/>
  <c r="F67" i="1"/>
  <c r="H63" i="1"/>
  <c r="D63" i="1"/>
  <c r="B63" i="1"/>
  <c r="F62" i="1"/>
  <c r="J62" i="1" s="1"/>
  <c r="F61" i="1"/>
  <c r="J61" i="1" s="1"/>
  <c r="F60" i="1"/>
  <c r="J60" i="1" s="1"/>
  <c r="H56" i="1"/>
  <c r="D56" i="1"/>
  <c r="B56" i="1"/>
  <c r="F55" i="1"/>
  <c r="J55" i="1" s="1"/>
  <c r="F54" i="1"/>
  <c r="J54" i="1" s="1"/>
  <c r="F53" i="1"/>
  <c r="H49" i="1"/>
  <c r="D49" i="1"/>
  <c r="B49" i="1"/>
  <c r="F48" i="1"/>
  <c r="J48" i="1" s="1"/>
  <c r="F47" i="1"/>
  <c r="J47" i="1" s="1"/>
  <c r="F46" i="1"/>
  <c r="J46" i="1" s="1"/>
  <c r="H42" i="1"/>
  <c r="D42" i="1"/>
  <c r="B42" i="1"/>
  <c r="F41" i="1"/>
  <c r="J41" i="1" s="1"/>
  <c r="F40" i="1"/>
  <c r="J40" i="1" s="1"/>
  <c r="F39" i="1"/>
  <c r="J39" i="1" s="1"/>
  <c r="H35" i="1"/>
  <c r="D35" i="1"/>
  <c r="B35" i="1"/>
  <c r="F34" i="1"/>
  <c r="J34" i="1" s="1"/>
  <c r="F33" i="1"/>
  <c r="J33" i="1" s="1"/>
  <c r="F32" i="1"/>
  <c r="J32" i="1" s="1"/>
  <c r="H28" i="1"/>
  <c r="D28" i="1"/>
  <c r="B28" i="1"/>
  <c r="F27" i="1"/>
  <c r="J27" i="1" s="1"/>
  <c r="F26" i="1"/>
  <c r="J26" i="1" s="1"/>
  <c r="F25" i="1"/>
  <c r="J25" i="1" s="1"/>
  <c r="H21" i="1"/>
  <c r="D21" i="1"/>
  <c r="B21" i="1"/>
  <c r="F20" i="1"/>
  <c r="J20" i="1" s="1"/>
  <c r="F19" i="1"/>
  <c r="J19" i="1" s="1"/>
  <c r="F18" i="1"/>
  <c r="J18" i="1" s="1"/>
  <c r="H14" i="1"/>
  <c r="D14" i="1"/>
  <c r="B14" i="1"/>
  <c r="F13" i="1"/>
  <c r="J13" i="1" s="1"/>
  <c r="F12" i="1"/>
  <c r="J12" i="1" s="1"/>
  <c r="F11" i="1"/>
  <c r="J11" i="1" s="1"/>
  <c r="F6" i="1"/>
  <c r="F5" i="1"/>
  <c r="J5" i="1" s="1"/>
  <c r="F4" i="1"/>
  <c r="B7" i="1"/>
  <c r="D7" i="1"/>
  <c r="J130" i="1" l="1"/>
  <c r="F123" i="1"/>
  <c r="F116" i="1"/>
  <c r="F137" i="1"/>
  <c r="F200" i="1"/>
  <c r="F103" i="1"/>
  <c r="F56" i="1"/>
  <c r="J35" i="1"/>
  <c r="J14" i="1"/>
  <c r="J49" i="1"/>
  <c r="J134" i="1"/>
  <c r="J137" i="1" s="1"/>
  <c r="J42" i="1"/>
  <c r="F110" i="1"/>
  <c r="J114" i="1"/>
  <c r="J116" i="1" s="1"/>
  <c r="J120" i="1"/>
  <c r="J123" i="1" s="1"/>
  <c r="F186" i="1"/>
  <c r="J190" i="1"/>
  <c r="J193" i="1" s="1"/>
  <c r="J197" i="1"/>
  <c r="J53" i="1"/>
  <c r="J56" i="1" s="1"/>
  <c r="F130" i="1"/>
  <c r="J204" i="1"/>
  <c r="J207" i="1" s="1"/>
  <c r="J107" i="1"/>
  <c r="J110" i="1" s="1"/>
  <c r="J179" i="1"/>
  <c r="J183" i="1"/>
  <c r="J186" i="1" s="1"/>
  <c r="F14" i="1"/>
  <c r="J28" i="1"/>
  <c r="F68" i="1"/>
  <c r="J75" i="1"/>
  <c r="J82" i="1"/>
  <c r="J103" i="1"/>
  <c r="F165" i="1"/>
  <c r="J96" i="1"/>
  <c r="F49" i="1"/>
  <c r="J67" i="1"/>
  <c r="F158" i="1"/>
  <c r="J162" i="1"/>
  <c r="J165" i="1" s="1"/>
  <c r="J63" i="1"/>
  <c r="J214" i="1"/>
  <c r="J200" i="1"/>
  <c r="F214" i="1"/>
  <c r="J172" i="1"/>
  <c r="J151" i="1"/>
  <c r="J144" i="1"/>
  <c r="F151" i="1"/>
  <c r="F172" i="1"/>
  <c r="J155" i="1"/>
  <c r="J158" i="1" s="1"/>
  <c r="F179" i="1"/>
  <c r="F144" i="1"/>
  <c r="J89" i="1"/>
  <c r="J68" i="1"/>
  <c r="F96" i="1"/>
  <c r="F75" i="1"/>
  <c r="F82" i="1"/>
  <c r="F89" i="1"/>
  <c r="F63" i="1"/>
  <c r="F42" i="1"/>
  <c r="F35" i="1"/>
  <c r="F28" i="1"/>
  <c r="J21" i="1"/>
  <c r="F21" i="1"/>
  <c r="F7" i="1"/>
  <c r="J6" i="1"/>
  <c r="J4" i="1" l="1"/>
  <c r="J7" i="1" s="1"/>
  <c r="H7" i="1"/>
</calcChain>
</file>

<file path=xl/sharedStrings.xml><?xml version="1.0" encoding="utf-8"?>
<sst xmlns="http://schemas.openxmlformats.org/spreadsheetml/2006/main" count="160" uniqueCount="43">
  <si>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</si>
  <si>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</si>
  <si>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</si>
  <si>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</si>
  <si>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</si>
  <si>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</si>
  <si>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</si>
  <si>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</si>
  <si>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</si>
  <si>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</si>
  <si>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t xml:space="preserve">  Total Return Swap Contracts</t>
  </si>
  <si>
    <t>Net Amount</t>
  </si>
  <si>
    <t>Derivative Assets*</t>
  </si>
  <si>
    <t>Derivative Liabilities**</t>
  </si>
  <si>
    <t>Net Derivative Assets (Liabilities)</t>
  </si>
  <si>
    <t>Collateral Pledged (Received)***</t>
  </si>
  <si>
    <t xml:space="preserve">Leverage Shares 2X Long AAL Daily ETF </t>
  </si>
  <si>
    <t xml:space="preserve">Leverage Shares 2X Long AMD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</si>
  <si>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</si>
  <si>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</si>
  <si>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</si>
  <si>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</si>
  <si>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</si>
  <si>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</si>
  <si>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</si>
  <si>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</si>
  <si>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</si>
  <si>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</si>
  <si>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</si>
  <si>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</si>
  <si>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</si>
  <si>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</si>
  <si>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</si>
  <si>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</si>
  <si>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</si>
  <si>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</si>
  <si>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</si>
  <si>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>** Statement of Assets and Liabilities location: Unrealized depreciation on swap contracts.</t>
  </si>
  <si>
    <t>*** The actual collateral pledged (received) may be more than the amounts shown.</t>
  </si>
  <si>
    <t>* Statement of Assets and Liabilities location: Unrealized appreciation on swap contracts.</t>
  </si>
  <si>
    <t xml:space="preserve">       Marex Capital Markets Inc.</t>
  </si>
  <si>
    <t xml:space="preserve">       Clear Street LLC</t>
  </si>
  <si>
    <t xml:space="preserve">       Cantor Fitzgerald &amp;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</si>
</sst>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41" fontId="1" fillId="0" borderId="0" xfId="0" applyNumberFormat="1" applyFont="1"/>
    <xf numFmtId="42" fontId="1" fillId="0" borderId="0" xfId="0" applyNumberFormat="1" applyFont="1"/>
    <xf numFmtId="41" fontId="1" fillId="0" borderId="1" xfId="0" applyNumberFormat="1" applyFont="1" applyBorder="1"/>
    <xf numFmtId="42" fontId="1" fillId="0" borderId="2" xfId="0" applyNumberFormat="1" applyFont="1" applyBorder="1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E9E8-8087-4E45-ABD9-A4A333973775}">
  <dimension ref="A1:J218"/>
  <sheetViews>
    <sheetView tabSelected="1" view="pageBreakPreview" zoomScaleNormal="100" zoomScaleSheetLayoutView="100" workbookViewId="0"/>
  </sheetViews>
  <sheetFormatPr defaultColWidth="9.1796875" defaultRowHeight="13" x14ac:dyDescent="0.3"/>
  <cols>
    <col min="1" max="1" width="41.1796875" style="1" customWidth="1"/>
    <col min="2" max="2" width="12.7265625" style="1" customWidth="1"/>
    <col min="3" max="3" width="1" style="1" customWidth="1"/>
    <col min="4" max="4" width="12" style="1" customWidth="1"/>
    <col min="5" max="5" width="0.81640625" style="1" customWidth="1"/>
    <col min="6" max="6" width="12.81640625" style="1" customWidth="1"/>
    <col min="7" max="7" width="0.7265625" style="1" customWidth="1"/>
    <col min="8" max="8" width="12.1796875" style="1" customWidth="1"/>
    <col min="9" max="9" width="0.90625" style="1" customWidth="1"/>
    <col min="10" max="10" width="12.1796875" style="1" customWidth="1"/>
    <col min="11" max="16384" width="9.1796875" style="1"/>
  </cols>
  <sheetData>
    <row r="1" spans="1:10" ht="42.5" customHeight="1" x14ac:dyDescent="0.3">
      <c r="B1" s="8" t="s">
        <v>12</v>
      </c>
      <c r="C1" s="3"/>
      <c r="D1" s="8" t="s">
        <v>13</v>
      </c>
      <c r="E1" s="3"/>
      <c r="F1" s="8" t="s">
        <v>14</v>
      </c>
      <c r="G1" s="3"/>
      <c r="H1" s="8" t="s">
        <v>15</v>
      </c>
      <c r="J1" s="8" t="s">
        <v>11</v>
      </c>
    </row>
    <row r="2" spans="1:10" x14ac:dyDescent="0.3">
      <c r="A2" s="2" t="s">
        <v>16</v>
      </c>
      <c r="B2" s="4"/>
      <c r="C2" s="4"/>
      <c r="D2" s="4"/>
      <c r="E2" s="4"/>
      <c r="F2" s="4"/>
      <c r="G2" s="4"/>
      <c r="H2" s="4"/>
      <c r="J2" s="4"/>
    </row>
    <row r="3" spans="1:10" x14ac:dyDescent="0.3">
      <c r="A3" s="2" t="s">
        <v>10</v>
      </c>
      <c r="B3" s="4"/>
      <c r="C3" s="4"/>
      <c r="D3" s="4"/>
      <c r="E3" s="4"/>
      <c r="F3" s="4"/>
      <c r="G3" s="4"/>
      <c r="H3" s="4"/>
      <c r="J3" s="4"/>
    </row>
    <row r="4" spans="1:10" x14ac:dyDescent="0.3">
      <c r="A4" s="1" t="s">
        <v>42</v>
      </c>
      <c r="B4" s="5">
        <v>64333</v>
      </c>
      <c r="C4" s="4"/>
      <c r="D4" s="5">
        <v>0</v>
      </c>
      <c r="E4" s="4"/>
      <c r="F4" s="5">
        <f>B4+D4</f>
        <v>64333</v>
      </c>
      <c r="G4" s="4"/>
      <c r="H4" s="5">
        <v>0</v>
      </c>
      <c r="J4" s="5">
        <f>F4+H4</f>
        <v>64333</v>
      </c>
    </row>
    <row r="5" spans="1:10" x14ac:dyDescent="0.3">
      <c r="A5" s="1" t="s">
        <v>41</v>
      </c>
      <c r="B5" s="4">
        <v>28893</v>
      </c>
      <c r="C5" s="4"/>
      <c r="D5" s="4">
        <v>0</v>
      </c>
      <c r="E5" s="4"/>
      <c r="F5" s="4">
        <f>B5+D5</f>
        <v>28893</v>
      </c>
      <c r="G5" s="4"/>
      <c r="H5" s="4">
        <v>0</v>
      </c>
      <c r="J5" s="4">
        <f>F5+H5</f>
        <v>28893</v>
      </c>
    </row>
    <row r="6" spans="1:10" x14ac:dyDescent="0.3">
      <c r="A6" s="1" t="s">
        <v>40</v>
      </c>
      <c r="B6" s="6">
        <v>22747</v>
      </c>
      <c r="C6" s="4"/>
      <c r="D6" s="6">
        <v>0</v>
      </c>
      <c r="E6" s="4"/>
      <c r="F6" s="6">
        <f>B6+D6</f>
        <v>22747</v>
      </c>
      <c r="G6" s="4"/>
      <c r="H6" s="6">
        <v>0</v>
      </c>
      <c r="J6" s="6">
        <f>F6+H6</f>
        <v>22747</v>
      </c>
    </row>
    <row r="7" spans="1:10" ht="13.5" thickBot="1" x14ac:dyDescent="0.35">
      <c r="A7" s="2"/>
      <c r="B7" s="7">
        <f>SUM(B4:B6)</f>
        <v>115973</v>
      </c>
      <c r="C7" s="4"/>
      <c r="D7" s="7">
        <f>SUM(D4:D6)</f>
        <v>0</v>
      </c>
      <c r="E7" s="4"/>
      <c r="F7" s="7">
        <f>SUM(F4:F6)</f>
        <v>115973</v>
      </c>
      <c r="G7" s="4"/>
      <c r="H7" s="7">
        <f>SUM(H4:H6)</f>
        <v>0</v>
      </c>
      <c r="J7" s="7">
        <f>SUM(J4:J6)</f>
        <v>115973</v>
      </c>
    </row>
    <row r="8" spans="1:10" ht="13.5" thickTop="1" x14ac:dyDescent="0.3">
      <c r="A8" s="2"/>
      <c r="B8" s="4"/>
      <c r="C8" s="4"/>
      <c r="D8" s="4"/>
      <c r="E8" s="4"/>
      <c r="F8" s="4"/>
      <c r="G8" s="4"/>
      <c r="H8" s="4"/>
      <c r="J8" s="4"/>
    </row>
    <row r="9" spans="1:10" x14ac:dyDescent="0.3">
      <c r="A9" s="2" t="s">
        <v>0</v>
      </c>
      <c r="B9" s="4"/>
      <c r="C9" s="4"/>
      <c r="D9" s="4"/>
      <c r="E9" s="4"/>
      <c r="F9" s="4"/>
      <c r="G9" s="4"/>
      <c r="H9" s="4"/>
      <c r="J9" s="4"/>
    </row>
    <row r="10" spans="1:10" x14ac:dyDescent="0.3">
      <c r="A10" s="2" t="s">
        <v>10</v>
      </c>
      <c r="B10" s="4"/>
      <c r="C10" s="4"/>
      <c r="D10" s="4"/>
      <c r="E10" s="4"/>
      <c r="F10" s="4"/>
      <c r="G10" s="4"/>
      <c r="H10" s="4"/>
      <c r="J10" s="4"/>
    </row>
    <row r="11" spans="1:10" x14ac:dyDescent="0.3">
      <c r="A11" s="1" t="s">
        <v>42</v>
      </c>
      <c r="B11" s="5">
        <v>0</v>
      </c>
      <c r="C11" s="4"/>
      <c r="D11" s="5">
        <v>-259824</v>
      </c>
      <c r="E11" s="4"/>
      <c r="F11" s="5">
        <f>B11+D11</f>
        <v>-259824</v>
      </c>
      <c r="G11" s="4"/>
      <c r="H11" s="5">
        <v>259824</v>
      </c>
      <c r="J11" s="5">
        <f>F11+H11</f>
        <v>0</v>
      </c>
    </row>
    <row r="12" spans="1:10" x14ac:dyDescent="0.3">
      <c r="A12" s="1" t="s">
        <v>41</v>
      </c>
      <c r="B12" s="4">
        <v>342699</v>
      </c>
      <c r="C12" s="4"/>
      <c r="D12" s="4">
        <v>0</v>
      </c>
      <c r="E12" s="4"/>
      <c r="F12" s="4">
        <f>B12+D12</f>
        <v>342699</v>
      </c>
      <c r="G12" s="4"/>
      <c r="H12" s="4">
        <v>0</v>
      </c>
      <c r="J12" s="4">
        <f>F12+H12</f>
        <v>342699</v>
      </c>
    </row>
    <row r="13" spans="1:10" x14ac:dyDescent="0.3">
      <c r="A13" s="1" t="s">
        <v>40</v>
      </c>
      <c r="B13" s="6">
        <v>0</v>
      </c>
      <c r="C13" s="4"/>
      <c r="D13" s="6">
        <v>-180927</v>
      </c>
      <c r="E13" s="4"/>
      <c r="F13" s="6">
        <f>B13+D13</f>
        <v>-180927</v>
      </c>
      <c r="G13" s="4"/>
      <c r="H13" s="6">
        <v>180927</v>
      </c>
      <c r="J13" s="6">
        <f>F13+H13</f>
        <v>0</v>
      </c>
    </row>
    <row r="14" spans="1:10" ht="13.5" thickBot="1" x14ac:dyDescent="0.35">
      <c r="A14" s="2"/>
      <c r="B14" s="7">
        <f>SUM(B11:B13)</f>
        <v>342699</v>
      </c>
      <c r="C14" s="4"/>
      <c r="D14" s="7">
        <f>SUM(D11:D13)</f>
        <v>-440751</v>
      </c>
      <c r="E14" s="4"/>
      <c r="F14" s="7">
        <f>SUM(F11:F13)</f>
        <v>-98052</v>
      </c>
      <c r="G14" s="4"/>
      <c r="H14" s="7">
        <f>SUM(H11:H13)</f>
        <v>440751</v>
      </c>
      <c r="J14" s="7">
        <f>SUM(J11:J13)</f>
        <v>342699</v>
      </c>
    </row>
    <row r="15" spans="1:10" ht="13.5" thickTop="1" x14ac:dyDescent="0.3">
      <c r="A15" s="2"/>
      <c r="B15" s="5"/>
      <c r="C15" s="4"/>
      <c r="D15" s="5"/>
      <c r="E15" s="4"/>
      <c r="F15" s="5"/>
      <c r="G15" s="4"/>
      <c r="H15" s="5"/>
      <c r="J15" s="5"/>
    </row>
    <row r="16" spans="1:10" x14ac:dyDescent="0.3">
      <c r="A16" s="2" t="s">
        <v>17</v>
      </c>
      <c r="B16" s="4"/>
      <c r="C16" s="4"/>
      <c r="D16" s="4"/>
      <c r="E16" s="4"/>
      <c r="F16" s="4"/>
      <c r="G16" s="4"/>
      <c r="H16" s="4"/>
      <c r="J16" s="4"/>
    </row>
    <row r="17" spans="1:10" x14ac:dyDescent="0.3">
      <c r="A17" s="2" t="s">
        <v>10</v>
      </c>
      <c r="B17" s="4"/>
      <c r="C17" s="4"/>
      <c r="D17" s="4"/>
      <c r="E17" s="4"/>
      <c r="F17" s="4"/>
      <c r="G17" s="4"/>
      <c r="H17" s="4"/>
      <c r="J17" s="4"/>
    </row>
    <row r="18" spans="1:10" x14ac:dyDescent="0.3">
      <c r="A18" s="1" t="s">
        <v>42</v>
      </c>
      <c r="B18" s="5">
        <v>364835</v>
      </c>
      <c r="C18" s="4"/>
      <c r="D18" s="5">
        <v>0</v>
      </c>
      <c r="E18" s="4"/>
      <c r="F18" s="5">
        <f>B18+D18</f>
        <v>364835</v>
      </c>
      <c r="G18" s="4"/>
      <c r="H18" s="5">
        <v>0</v>
      </c>
      <c r="J18" s="5">
        <f>F18+H18</f>
        <v>364835</v>
      </c>
    </row>
    <row r="19" spans="1:10" x14ac:dyDescent="0.3">
      <c r="A19" s="1" t="s">
        <v>41</v>
      </c>
      <c r="B19" s="4">
        <v>4791977</v>
      </c>
      <c r="C19" s="4"/>
      <c r="D19" s="4">
        <v>0</v>
      </c>
      <c r="E19" s="4"/>
      <c r="F19" s="4">
        <f>B19+D19</f>
        <v>4791977</v>
      </c>
      <c r="G19" s="4"/>
      <c r="H19" s="4">
        <v>0</v>
      </c>
      <c r="J19" s="4">
        <f>F19+H19</f>
        <v>4791977</v>
      </c>
    </row>
    <row r="20" spans="1:10" x14ac:dyDescent="0.3">
      <c r="A20" s="1" t="s">
        <v>40</v>
      </c>
      <c r="B20" s="6">
        <v>726971</v>
      </c>
      <c r="C20" s="4"/>
      <c r="D20" s="6">
        <v>0</v>
      </c>
      <c r="E20" s="4"/>
      <c r="F20" s="6">
        <f>B20+D20</f>
        <v>726971</v>
      </c>
      <c r="G20" s="4"/>
      <c r="H20" s="6">
        <v>0</v>
      </c>
      <c r="J20" s="6">
        <f>F20+H20</f>
        <v>726971</v>
      </c>
    </row>
    <row r="21" spans="1:10" ht="13.5" thickBot="1" x14ac:dyDescent="0.35">
      <c r="A21" s="2"/>
      <c r="B21" s="7">
        <f>SUM(B18:B20)</f>
        <v>5883783</v>
      </c>
      <c r="C21" s="4"/>
      <c r="D21" s="7">
        <f>SUM(D18:D20)</f>
        <v>0</v>
      </c>
      <c r="E21" s="4"/>
      <c r="F21" s="7">
        <f>SUM(F18:F20)</f>
        <v>5883783</v>
      </c>
      <c r="G21" s="4"/>
      <c r="H21" s="7">
        <f>SUM(H18:H20)</f>
        <v>0</v>
      </c>
      <c r="J21" s="7">
        <f>SUM(J18:J20)</f>
        <v>5883783</v>
      </c>
    </row>
    <row r="22" spans="1:10" ht="13.5" thickTop="1" x14ac:dyDescent="0.3">
      <c r="A22" s="2"/>
      <c r="B22" s="5"/>
      <c r="C22" s="4"/>
      <c r="D22" s="5"/>
      <c r="E22" s="4"/>
      <c r="F22" s="5"/>
      <c r="G22" s="4"/>
      <c r="H22" s="5"/>
      <c r="J22" s="5"/>
    </row>
    <row r="23" spans="1:10" x14ac:dyDescent="0.3">
      <c r="A23" s="2" t="s">
        <v>1</v>
      </c>
      <c r="B23" s="4"/>
      <c r="C23" s="4"/>
      <c r="D23" s="4"/>
      <c r="E23" s="4"/>
      <c r="F23" s="4"/>
      <c r="G23" s="4"/>
      <c r="H23" s="4"/>
      <c r="J23" s="4"/>
    </row>
    <row r="24" spans="1:10" x14ac:dyDescent="0.3">
      <c r="A24" s="2" t="s">
        <v>10</v>
      </c>
      <c r="B24" s="4"/>
      <c r="C24" s="4"/>
      <c r="D24" s="4"/>
      <c r="E24" s="4"/>
      <c r="F24" s="4"/>
      <c r="G24" s="4"/>
      <c r="H24" s="4"/>
      <c r="J24" s="4"/>
    </row>
    <row r="25" spans="1:10" x14ac:dyDescent="0.3">
      <c r="A25" s="1" t="s">
        <v>42</v>
      </c>
      <c r="B25" s="5">
        <v>0</v>
      </c>
      <c r="C25" s="4"/>
      <c r="D25" s="5">
        <v>-499609</v>
      </c>
      <c r="E25" s="4"/>
      <c r="F25" s="5">
        <f>B25+D25</f>
        <v>-499609</v>
      </c>
      <c r="G25" s="4"/>
      <c r="H25" s="5">
        <v>499609</v>
      </c>
      <c r="J25" s="5">
        <f>F25+H25</f>
        <v>0</v>
      </c>
    </row>
    <row r="26" spans="1:10" x14ac:dyDescent="0.3">
      <c r="A26" s="1" t="s">
        <v>41</v>
      </c>
      <c r="B26" s="4">
        <v>1855701</v>
      </c>
      <c r="C26" s="4"/>
      <c r="D26" s="4">
        <v>0</v>
      </c>
      <c r="E26" s="4"/>
      <c r="F26" s="4">
        <f>B26+D26</f>
        <v>1855701</v>
      </c>
      <c r="G26" s="4"/>
      <c r="H26" s="4">
        <v>0</v>
      </c>
      <c r="J26" s="4">
        <f>F26+H26</f>
        <v>1855701</v>
      </c>
    </row>
    <row r="27" spans="1:10" x14ac:dyDescent="0.3">
      <c r="A27" s="1" t="s">
        <v>40</v>
      </c>
      <c r="B27" s="6">
        <v>813771</v>
      </c>
      <c r="C27" s="4"/>
      <c r="D27" s="6">
        <v>0</v>
      </c>
      <c r="E27" s="4"/>
      <c r="F27" s="6">
        <f>B27+D27</f>
        <v>813771</v>
      </c>
      <c r="G27" s="4"/>
      <c r="H27" s="6">
        <v>0</v>
      </c>
      <c r="J27" s="6">
        <f>F27+H27</f>
        <v>813771</v>
      </c>
    </row>
    <row r="28" spans="1:10" ht="13.5" thickBot="1" x14ac:dyDescent="0.35">
      <c r="A28" s="2"/>
      <c r="B28" s="7">
        <f>SUM(B25:B27)</f>
        <v>2669472</v>
      </c>
      <c r="C28" s="4"/>
      <c r="D28" s="7">
        <f>SUM(D25:D27)</f>
        <v>-499609</v>
      </c>
      <c r="E28" s="4"/>
      <c r="F28" s="7">
        <f>SUM(F25:F27)</f>
        <v>2169863</v>
      </c>
      <c r="G28" s="4"/>
      <c r="H28" s="7">
        <f>SUM(H25:H27)</f>
        <v>499609</v>
      </c>
      <c r="J28" s="7">
        <f>SUM(J25:J27)</f>
        <v>2669472</v>
      </c>
    </row>
    <row r="29" spans="1:10" ht="13.5" thickTop="1" x14ac:dyDescent="0.3">
      <c r="A29" s="2"/>
      <c r="B29" s="5"/>
      <c r="C29" s="4"/>
      <c r="D29" s="5"/>
      <c r="E29" s="4"/>
      <c r="F29" s="5"/>
      <c r="G29" s="4"/>
      <c r="H29" s="5"/>
      <c r="J29" s="5"/>
    </row>
    <row r="30" spans="1:10" x14ac:dyDescent="0.3">
      <c r="A30" s="2" t="s">
        <v>2</v>
      </c>
      <c r="B30" s="4"/>
      <c r="C30" s="4"/>
      <c r="D30" s="4"/>
      <c r="E30" s="4"/>
      <c r="F30" s="4"/>
      <c r="G30" s="4"/>
      <c r="H30" s="4"/>
      <c r="J30" s="4"/>
    </row>
    <row r="31" spans="1:10" x14ac:dyDescent="0.3">
      <c r="A31" s="2" t="s">
        <v>10</v>
      </c>
      <c r="B31" s="4"/>
      <c r="C31" s="4"/>
      <c r="D31" s="4"/>
      <c r="E31" s="4"/>
      <c r="F31" s="4"/>
      <c r="G31" s="4"/>
      <c r="H31" s="4"/>
      <c r="J31" s="4"/>
    </row>
    <row r="32" spans="1:10" x14ac:dyDescent="0.3">
      <c r="A32" s="1" t="s">
        <v>42</v>
      </c>
      <c r="B32" s="5">
        <v>2537248</v>
      </c>
      <c r="C32" s="4"/>
      <c r="D32" s="5">
        <v>0</v>
      </c>
      <c r="E32" s="4"/>
      <c r="F32" s="5">
        <f>B32+D32</f>
        <v>2537248</v>
      </c>
      <c r="G32" s="4"/>
      <c r="H32" s="5">
        <v>0</v>
      </c>
      <c r="J32" s="5">
        <f>F32+H32</f>
        <v>2537248</v>
      </c>
    </row>
    <row r="33" spans="1:10" ht="13.5" customHeight="1" x14ac:dyDescent="0.3">
      <c r="A33" s="1" t="s">
        <v>41</v>
      </c>
      <c r="B33" s="4">
        <v>0</v>
      </c>
      <c r="C33" s="4"/>
      <c r="D33" s="4">
        <v>-81430</v>
      </c>
      <c r="E33" s="4"/>
      <c r="F33" s="4">
        <f>B33+D33</f>
        <v>-81430</v>
      </c>
      <c r="G33" s="4"/>
      <c r="H33" s="4">
        <v>81430</v>
      </c>
      <c r="J33" s="4">
        <f>F33+H33</f>
        <v>0</v>
      </c>
    </row>
    <row r="34" spans="1:10" x14ac:dyDescent="0.3">
      <c r="A34" s="1" t="s">
        <v>40</v>
      </c>
      <c r="B34" s="6">
        <v>108543</v>
      </c>
      <c r="C34" s="4"/>
      <c r="D34" s="6">
        <v>0</v>
      </c>
      <c r="E34" s="4"/>
      <c r="F34" s="6">
        <f>B34+D34</f>
        <v>108543</v>
      </c>
      <c r="G34" s="4"/>
      <c r="H34" s="6">
        <v>0</v>
      </c>
      <c r="J34" s="6">
        <f>F34+H34</f>
        <v>108543</v>
      </c>
    </row>
    <row r="35" spans="1:10" ht="13.5" thickBot="1" x14ac:dyDescent="0.35">
      <c r="A35" s="2"/>
      <c r="B35" s="7">
        <f>SUM(B32:B34)</f>
        <v>2645791</v>
      </c>
      <c r="C35" s="4"/>
      <c r="D35" s="7">
        <f>SUM(D32:D34)</f>
        <v>-81430</v>
      </c>
      <c r="E35" s="4"/>
      <c r="F35" s="7">
        <f>SUM(F32:F34)</f>
        <v>2564361</v>
      </c>
      <c r="G35" s="4"/>
      <c r="H35" s="7">
        <f>SUM(H32:H34)</f>
        <v>81430</v>
      </c>
      <c r="J35" s="7">
        <f>SUM(J32:J34)</f>
        <v>2645791</v>
      </c>
    </row>
    <row r="36" spans="1:10" ht="13.5" thickTop="1" x14ac:dyDescent="0.3">
      <c r="A36" s="2"/>
      <c r="B36" s="5"/>
      <c r="C36" s="4"/>
      <c r="D36" s="5"/>
      <c r="E36" s="4"/>
      <c r="F36" s="5"/>
      <c r="G36" s="4"/>
      <c r="H36" s="5"/>
      <c r="J36" s="5"/>
    </row>
    <row r="37" spans="1:10" x14ac:dyDescent="0.3">
      <c r="A37" s="2" t="s">
        <v>18</v>
      </c>
      <c r="B37" s="4"/>
      <c r="C37" s="4"/>
      <c r="D37" s="4"/>
      <c r="E37" s="4"/>
      <c r="F37" s="4"/>
      <c r="G37" s="4"/>
      <c r="H37" s="4"/>
      <c r="J37" s="4"/>
    </row>
    <row r="38" spans="1:10" x14ac:dyDescent="0.3">
      <c r="A38" s="2" t="s">
        <v>10</v>
      </c>
      <c r="B38" s="4"/>
      <c r="C38" s="4"/>
      <c r="D38" s="4"/>
      <c r="E38" s="4"/>
      <c r="F38" s="4"/>
      <c r="G38" s="4"/>
      <c r="H38" s="4"/>
      <c r="J38" s="4"/>
    </row>
    <row r="39" spans="1:10" x14ac:dyDescent="0.3">
      <c r="A39" s="1" t="s">
        <v>42</v>
      </c>
      <c r="B39" s="5">
        <v>0</v>
      </c>
      <c r="C39" s="4"/>
      <c r="D39" s="5">
        <v>-164058</v>
      </c>
      <c r="E39" s="4"/>
      <c r="F39" s="5">
        <f>B39+D39</f>
        <v>-164058</v>
      </c>
      <c r="G39" s="4"/>
      <c r="H39" s="5">
        <v>164058</v>
      </c>
      <c r="J39" s="5">
        <f>F39+H39</f>
        <v>0</v>
      </c>
    </row>
    <row r="40" spans="1:10" x14ac:dyDescent="0.3">
      <c r="A40" s="1" t="s">
        <v>41</v>
      </c>
      <c r="B40" s="4">
        <v>2926405</v>
      </c>
      <c r="C40" s="4"/>
      <c r="D40" s="4">
        <v>0</v>
      </c>
      <c r="E40" s="4"/>
      <c r="F40" s="4">
        <f>B40+D40</f>
        <v>2926405</v>
      </c>
      <c r="G40" s="4"/>
      <c r="H40" s="4">
        <v>0</v>
      </c>
      <c r="J40" s="4">
        <f>F40+H40</f>
        <v>2926405</v>
      </c>
    </row>
    <row r="41" spans="1:10" x14ac:dyDescent="0.3">
      <c r="A41" s="1" t="s">
        <v>40</v>
      </c>
      <c r="B41" s="6">
        <v>428577</v>
      </c>
      <c r="C41" s="4"/>
      <c r="D41" s="6">
        <v>0</v>
      </c>
      <c r="E41" s="4"/>
      <c r="F41" s="6">
        <f>B41+D41</f>
        <v>428577</v>
      </c>
      <c r="G41" s="4"/>
      <c r="H41" s="6">
        <v>0</v>
      </c>
      <c r="J41" s="6">
        <f>F41+H41</f>
        <v>428577</v>
      </c>
    </row>
    <row r="42" spans="1:10" ht="13.5" thickBot="1" x14ac:dyDescent="0.35">
      <c r="A42" s="2"/>
      <c r="B42" s="7">
        <f>SUM(B39:B41)</f>
        <v>3354982</v>
      </c>
      <c r="C42" s="4"/>
      <c r="D42" s="7">
        <f>SUM(D39:D41)</f>
        <v>-164058</v>
      </c>
      <c r="E42" s="4"/>
      <c r="F42" s="7">
        <f>SUM(F39:F41)</f>
        <v>3190924</v>
      </c>
      <c r="G42" s="4"/>
      <c r="H42" s="7">
        <f>SUM(H39:H41)</f>
        <v>164058</v>
      </c>
      <c r="J42" s="7">
        <f>SUM(J39:J41)</f>
        <v>3354982</v>
      </c>
    </row>
    <row r="43" spans="1:10" ht="13.5" thickTop="1" x14ac:dyDescent="0.3">
      <c r="A43" s="2"/>
      <c r="B43" s="5"/>
      <c r="C43" s="4"/>
      <c r="D43" s="5"/>
      <c r="E43" s="4"/>
      <c r="F43" s="5"/>
      <c r="G43" s="4"/>
      <c r="H43" s="5"/>
      <c r="J43" s="5"/>
    </row>
    <row r="44" spans="1:10" x14ac:dyDescent="0.3">
      <c r="A44" s="2" t="s">
        <v>19</v>
      </c>
      <c r="B44" s="4"/>
      <c r="C44" s="4"/>
      <c r="D44" s="4"/>
      <c r="E44" s="4"/>
      <c r="F44" s="4"/>
      <c r="G44" s="4"/>
      <c r="H44" s="4"/>
      <c r="J44" s="4"/>
    </row>
    <row r="45" spans="1:10" x14ac:dyDescent="0.3">
      <c r="A45" s="2" t="s">
        <v>10</v>
      </c>
      <c r="B45" s="4"/>
      <c r="C45" s="4"/>
      <c r="D45" s="4"/>
      <c r="E45" s="4"/>
      <c r="F45" s="4"/>
      <c r="G45" s="4"/>
      <c r="H45" s="4"/>
      <c r="J45" s="4"/>
    </row>
    <row r="46" spans="1:10" x14ac:dyDescent="0.3">
      <c r="A46" s="1" t="s">
        <v>42</v>
      </c>
      <c r="B46" s="5">
        <v>0</v>
      </c>
      <c r="C46" s="4"/>
      <c r="D46" s="5">
        <v>-35217</v>
      </c>
      <c r="E46" s="4"/>
      <c r="F46" s="5">
        <f>B46+D46</f>
        <v>-35217</v>
      </c>
      <c r="G46" s="4"/>
      <c r="H46" s="5">
        <v>35217</v>
      </c>
      <c r="J46" s="5">
        <f>F46+H46</f>
        <v>0</v>
      </c>
    </row>
    <row r="47" spans="1:10" x14ac:dyDescent="0.3">
      <c r="A47" s="1" t="s">
        <v>41</v>
      </c>
      <c r="B47" s="4">
        <v>0</v>
      </c>
      <c r="C47" s="4"/>
      <c r="D47" s="4">
        <v>-239496</v>
      </c>
      <c r="E47" s="4"/>
      <c r="F47" s="4">
        <f>B47+D47</f>
        <v>-239496</v>
      </c>
      <c r="G47" s="4"/>
      <c r="H47" s="4">
        <v>239496</v>
      </c>
      <c r="J47" s="4">
        <f>F47+H47</f>
        <v>0</v>
      </c>
    </row>
    <row r="48" spans="1:10" x14ac:dyDescent="0.3">
      <c r="A48" s="1" t="s">
        <v>40</v>
      </c>
      <c r="B48" s="6">
        <v>0</v>
      </c>
      <c r="C48" s="4"/>
      <c r="D48" s="6">
        <v>-108586</v>
      </c>
      <c r="E48" s="4"/>
      <c r="F48" s="6">
        <f>B48+D48</f>
        <v>-108586</v>
      </c>
      <c r="G48" s="4"/>
      <c r="H48" s="6">
        <v>108586</v>
      </c>
      <c r="J48" s="6">
        <f>F48+H48</f>
        <v>0</v>
      </c>
    </row>
    <row r="49" spans="1:10" ht="13.5" thickBot="1" x14ac:dyDescent="0.35">
      <c r="A49" s="2"/>
      <c r="B49" s="7">
        <f>SUM(B46:B48)</f>
        <v>0</v>
      </c>
      <c r="C49" s="4"/>
      <c r="D49" s="7">
        <f>SUM(D46:D48)</f>
        <v>-383299</v>
      </c>
      <c r="E49" s="4"/>
      <c r="F49" s="7">
        <f>SUM(F46:F48)</f>
        <v>-383299</v>
      </c>
      <c r="G49" s="4"/>
      <c r="H49" s="7">
        <f>SUM(H46:H48)</f>
        <v>383299</v>
      </c>
      <c r="J49" s="7">
        <f>SUM(J46:J48)</f>
        <v>0</v>
      </c>
    </row>
    <row r="50" spans="1:10" ht="13.5" thickTop="1" x14ac:dyDescent="0.3">
      <c r="A50" s="2"/>
      <c r="B50" s="5"/>
      <c r="C50" s="4"/>
      <c r="D50" s="5"/>
      <c r="E50" s="4"/>
      <c r="F50" s="5"/>
      <c r="G50" s="4"/>
      <c r="H50" s="5"/>
      <c r="J50" s="5"/>
    </row>
    <row r="51" spans="1:10" x14ac:dyDescent="0.3">
      <c r="A51" s="2" t="s">
        <v>20</v>
      </c>
      <c r="B51" s="4"/>
      <c r="C51" s="4"/>
      <c r="D51" s="4"/>
      <c r="E51" s="4"/>
      <c r="F51" s="4"/>
      <c r="G51" s="4"/>
      <c r="H51" s="4"/>
      <c r="J51" s="4"/>
    </row>
    <row r="52" spans="1:10" x14ac:dyDescent="0.3">
      <c r="A52" s="2" t="s">
        <v>10</v>
      </c>
      <c r="B52" s="4"/>
      <c r="C52" s="4"/>
      <c r="D52" s="4"/>
      <c r="E52" s="4"/>
      <c r="F52" s="4"/>
      <c r="G52" s="4"/>
      <c r="H52" s="4"/>
      <c r="J52" s="4"/>
    </row>
    <row r="53" spans="1:10" x14ac:dyDescent="0.3">
      <c r="A53" s="1" t="s">
        <v>42</v>
      </c>
      <c r="B53" s="5">
        <v>0</v>
      </c>
      <c r="C53" s="4"/>
      <c r="D53" s="5">
        <v>-148528</v>
      </c>
      <c r="E53" s="4"/>
      <c r="F53" s="5">
        <f>B53+D53</f>
        <v>-148528</v>
      </c>
      <c r="G53" s="4"/>
      <c r="H53" s="5">
        <v>148528</v>
      </c>
      <c r="J53" s="5">
        <f>F53+H53</f>
        <v>0</v>
      </c>
    </row>
    <row r="54" spans="1:10" x14ac:dyDescent="0.3">
      <c r="A54" s="1" t="s">
        <v>41</v>
      </c>
      <c r="B54" s="4">
        <v>28748</v>
      </c>
      <c r="C54" s="4"/>
      <c r="D54" s="4">
        <v>0</v>
      </c>
      <c r="E54" s="4"/>
      <c r="F54" s="4">
        <f>B54+D54</f>
        <v>28748</v>
      </c>
      <c r="G54" s="4"/>
      <c r="H54" s="4">
        <v>0</v>
      </c>
      <c r="J54" s="4">
        <f>F54+H54</f>
        <v>28748</v>
      </c>
    </row>
    <row r="55" spans="1:10" x14ac:dyDescent="0.3">
      <c r="A55" s="1" t="s">
        <v>40</v>
      </c>
      <c r="B55" s="6">
        <v>1353200</v>
      </c>
      <c r="C55" s="4"/>
      <c r="D55" s="6">
        <v>0</v>
      </c>
      <c r="E55" s="4"/>
      <c r="F55" s="6">
        <f>B55+D55</f>
        <v>1353200</v>
      </c>
      <c r="G55" s="4"/>
      <c r="H55" s="6">
        <v>0</v>
      </c>
      <c r="J55" s="6">
        <f>F55+H55</f>
        <v>1353200</v>
      </c>
    </row>
    <row r="56" spans="1:10" ht="13.5" thickBot="1" x14ac:dyDescent="0.35">
      <c r="A56" s="2"/>
      <c r="B56" s="7">
        <f>SUM(B53:B55)</f>
        <v>1381948</v>
      </c>
      <c r="C56" s="4"/>
      <c r="D56" s="7">
        <f>SUM(D53:D55)</f>
        <v>-148528</v>
      </c>
      <c r="E56" s="4"/>
      <c r="F56" s="7">
        <f>SUM(F53:F55)</f>
        <v>1233420</v>
      </c>
      <c r="G56" s="4"/>
      <c r="H56" s="7">
        <f>SUM(H53:H55)</f>
        <v>148528</v>
      </c>
      <c r="J56" s="7">
        <f>SUM(J53:J55)</f>
        <v>1381948</v>
      </c>
    </row>
    <row r="57" spans="1:10" ht="13.5" thickTop="1" x14ac:dyDescent="0.3">
      <c r="A57" s="2"/>
      <c r="B57" s="5"/>
      <c r="C57" s="4"/>
      <c r="D57" s="5"/>
      <c r="E57" s="4"/>
      <c r="F57" s="5"/>
      <c r="G57" s="4"/>
      <c r="H57" s="5"/>
      <c r="J57" s="5"/>
    </row>
    <row r="58" spans="1:10" x14ac:dyDescent="0.3">
      <c r="A58" s="2" t="s">
        <v>21</v>
      </c>
      <c r="B58" s="4"/>
      <c r="C58" s="4"/>
      <c r="D58" s="4"/>
      <c r="E58" s="4"/>
      <c r="F58" s="4"/>
      <c r="G58" s="4"/>
      <c r="H58" s="4"/>
      <c r="J58" s="4"/>
    </row>
    <row r="59" spans="1:10" x14ac:dyDescent="0.3">
      <c r="A59" s="2" t="s">
        <v>10</v>
      </c>
      <c r="B59" s="4"/>
      <c r="C59" s="4"/>
      <c r="D59" s="4"/>
      <c r="E59" s="4"/>
      <c r="F59" s="4"/>
      <c r="G59" s="4"/>
      <c r="H59" s="4"/>
      <c r="J59" s="4"/>
    </row>
    <row r="60" spans="1:10" x14ac:dyDescent="0.3">
      <c r="A60" s="1" t="s">
        <v>42</v>
      </c>
      <c r="B60" s="5">
        <v>0</v>
      </c>
      <c r="C60" s="4"/>
      <c r="D60" s="5">
        <v>-1150</v>
      </c>
      <c r="E60" s="4"/>
      <c r="F60" s="5">
        <f>B60+D60</f>
        <v>-1150</v>
      </c>
      <c r="G60" s="4"/>
      <c r="H60" s="5">
        <v>1150</v>
      </c>
      <c r="J60" s="5">
        <f>F60+H60</f>
        <v>0</v>
      </c>
    </row>
    <row r="61" spans="1:10" x14ac:dyDescent="0.3">
      <c r="A61" s="1" t="s">
        <v>41</v>
      </c>
      <c r="B61" s="4">
        <v>0</v>
      </c>
      <c r="C61" s="4"/>
      <c r="D61" s="4">
        <v>-459</v>
      </c>
      <c r="E61" s="4"/>
      <c r="F61" s="4">
        <f>B61+D61</f>
        <v>-459</v>
      </c>
      <c r="G61" s="4"/>
      <c r="H61" s="4">
        <v>459</v>
      </c>
      <c r="J61" s="4">
        <f>F61+H61</f>
        <v>0</v>
      </c>
    </row>
    <row r="62" spans="1:10" x14ac:dyDescent="0.3">
      <c r="A62" s="1" t="s">
        <v>40</v>
      </c>
      <c r="B62" s="6">
        <v>0</v>
      </c>
      <c r="C62" s="4"/>
      <c r="D62" s="6">
        <v>-35975</v>
      </c>
      <c r="E62" s="4"/>
      <c r="F62" s="6">
        <f>B62+D62</f>
        <v>-35975</v>
      </c>
      <c r="G62" s="4"/>
      <c r="H62" s="6">
        <v>35975</v>
      </c>
      <c r="J62" s="6">
        <f>F62+H62</f>
        <v>0</v>
      </c>
    </row>
    <row r="63" spans="1:10" ht="13.5" thickBot="1" x14ac:dyDescent="0.35">
      <c r="A63" s="2"/>
      <c r="B63" s="7">
        <f>SUM(B60:B62)</f>
        <v>0</v>
      </c>
      <c r="C63" s="4"/>
      <c r="D63" s="7">
        <f>SUM(D60:D62)</f>
        <v>-37584</v>
      </c>
      <c r="E63" s="4"/>
      <c r="F63" s="7">
        <f>SUM(F60:F62)</f>
        <v>-37584</v>
      </c>
      <c r="G63" s="4"/>
      <c r="H63" s="7">
        <f>SUM(H60:H62)</f>
        <v>37584</v>
      </c>
      <c r="J63" s="7">
        <f>SUM(J60:J62)</f>
        <v>0</v>
      </c>
    </row>
    <row r="64" spans="1:10" ht="13.5" thickTop="1" x14ac:dyDescent="0.3">
      <c r="A64" s="2"/>
      <c r="B64" s="5"/>
      <c r="C64" s="4"/>
      <c r="D64" s="5"/>
      <c r="E64" s="4"/>
      <c r="F64" s="5"/>
      <c r="G64" s="4"/>
      <c r="H64" s="5"/>
      <c r="J64" s="5"/>
    </row>
    <row r="65" spans="1:10" x14ac:dyDescent="0.3">
      <c r="A65" s="2" t="s">
        <v>22</v>
      </c>
      <c r="B65" s="4"/>
      <c r="C65" s="4"/>
      <c r="D65" s="4"/>
      <c r="E65" s="4"/>
      <c r="F65" s="4"/>
      <c r="G65" s="4"/>
      <c r="H65" s="4"/>
      <c r="J65" s="4"/>
    </row>
    <row r="66" spans="1:10" x14ac:dyDescent="0.3">
      <c r="A66" s="2" t="s">
        <v>10</v>
      </c>
      <c r="B66" s="4"/>
      <c r="C66" s="4"/>
      <c r="D66" s="4"/>
      <c r="E66" s="4"/>
      <c r="F66" s="4"/>
      <c r="G66" s="4"/>
      <c r="H66" s="4"/>
      <c r="J66" s="4"/>
    </row>
    <row r="67" spans="1:10" x14ac:dyDescent="0.3">
      <c r="A67" s="1" t="s">
        <v>40</v>
      </c>
      <c r="B67" s="5">
        <v>26919</v>
      </c>
      <c r="C67" s="4"/>
      <c r="D67" s="5">
        <v>0</v>
      </c>
      <c r="E67" s="4"/>
      <c r="F67" s="5">
        <f>B67+D67</f>
        <v>26919</v>
      </c>
      <c r="G67" s="4"/>
      <c r="H67" s="5">
        <v>0</v>
      </c>
      <c r="J67" s="5">
        <f>F67+H67</f>
        <v>26919</v>
      </c>
    </row>
    <row r="68" spans="1:10" ht="13.5" thickBot="1" x14ac:dyDescent="0.35">
      <c r="A68" s="2"/>
      <c r="B68" s="7">
        <f>SUM(B67:B67)</f>
        <v>26919</v>
      </c>
      <c r="C68" s="4"/>
      <c r="D68" s="7">
        <f>SUM(D67:D67)</f>
        <v>0</v>
      </c>
      <c r="E68" s="4"/>
      <c r="F68" s="7">
        <f>SUM(F67:F67)</f>
        <v>26919</v>
      </c>
      <c r="G68" s="4"/>
      <c r="H68" s="7">
        <f>SUM(H67:H67)</f>
        <v>0</v>
      </c>
      <c r="J68" s="7">
        <f>SUM(J67:J67)</f>
        <v>26919</v>
      </c>
    </row>
    <row r="69" spans="1:10" ht="13.5" thickTop="1" x14ac:dyDescent="0.3">
      <c r="A69" s="2"/>
      <c r="B69" s="4"/>
      <c r="C69" s="4"/>
      <c r="D69" s="4"/>
      <c r="E69" s="4"/>
      <c r="F69" s="4"/>
      <c r="G69" s="4"/>
      <c r="H69" s="4"/>
      <c r="J69" s="4"/>
    </row>
    <row r="70" spans="1:10" x14ac:dyDescent="0.3">
      <c r="A70" s="2" t="s">
        <v>23</v>
      </c>
      <c r="B70" s="4"/>
      <c r="C70" s="4"/>
      <c r="D70" s="4"/>
      <c r="E70" s="4"/>
      <c r="F70" s="4"/>
      <c r="G70" s="4"/>
      <c r="H70" s="4"/>
      <c r="J70" s="4"/>
    </row>
    <row r="71" spans="1:10" x14ac:dyDescent="0.3">
      <c r="A71" s="2" t="s">
        <v>10</v>
      </c>
      <c r="B71" s="4"/>
      <c r="C71" s="4"/>
      <c r="D71" s="4"/>
      <c r="E71" s="4"/>
      <c r="F71" s="4"/>
      <c r="G71" s="4"/>
      <c r="H71" s="4"/>
      <c r="J71" s="4"/>
    </row>
    <row r="72" spans="1:10" x14ac:dyDescent="0.3">
      <c r="A72" s="1" t="s">
        <v>42</v>
      </c>
      <c r="B72" s="5">
        <v>0</v>
      </c>
      <c r="C72" s="4"/>
      <c r="D72" s="5">
        <v>-490909</v>
      </c>
      <c r="E72" s="4"/>
      <c r="F72" s="5">
        <f>B72+D72</f>
        <v>-490909</v>
      </c>
      <c r="G72" s="4"/>
      <c r="H72" s="5">
        <v>490909</v>
      </c>
      <c r="J72" s="5">
        <f>F72+H72</f>
        <v>0</v>
      </c>
    </row>
    <row r="73" spans="1:10" x14ac:dyDescent="0.3">
      <c r="A73" s="1" t="s">
        <v>41</v>
      </c>
      <c r="B73" s="4">
        <v>0</v>
      </c>
      <c r="C73" s="4"/>
      <c r="D73" s="4">
        <v>-127471</v>
      </c>
      <c r="E73" s="4"/>
      <c r="F73" s="4">
        <f>B73+D73</f>
        <v>-127471</v>
      </c>
      <c r="G73" s="4"/>
      <c r="H73" s="4">
        <v>127471</v>
      </c>
      <c r="J73" s="4">
        <f>F73+H73</f>
        <v>0</v>
      </c>
    </row>
    <row r="74" spans="1:10" x14ac:dyDescent="0.3">
      <c r="A74" s="1" t="s">
        <v>40</v>
      </c>
      <c r="B74" s="6">
        <v>62871</v>
      </c>
      <c r="C74" s="4"/>
      <c r="D74" s="6">
        <v>0</v>
      </c>
      <c r="E74" s="4"/>
      <c r="F74" s="6">
        <f>B74+D74</f>
        <v>62871</v>
      </c>
      <c r="G74" s="4"/>
      <c r="H74" s="6">
        <v>0</v>
      </c>
      <c r="J74" s="6">
        <f>F74+H74</f>
        <v>62871</v>
      </c>
    </row>
    <row r="75" spans="1:10" ht="13.5" thickBot="1" x14ac:dyDescent="0.35">
      <c r="A75" s="2"/>
      <c r="B75" s="7">
        <f>SUM(B72:B74)</f>
        <v>62871</v>
      </c>
      <c r="C75" s="4"/>
      <c r="D75" s="7">
        <f>SUM(D72:D74)</f>
        <v>-618380</v>
      </c>
      <c r="E75" s="4"/>
      <c r="F75" s="7">
        <f>SUM(F72:F74)</f>
        <v>-555509</v>
      </c>
      <c r="G75" s="4"/>
      <c r="H75" s="7">
        <f>SUM(H72:H74)</f>
        <v>618380</v>
      </c>
      <c r="J75" s="7">
        <f>SUM(J72:J74)</f>
        <v>62871</v>
      </c>
    </row>
    <row r="76" spans="1:10" ht="13.5" thickTop="1" x14ac:dyDescent="0.3">
      <c r="A76" s="2"/>
      <c r="B76" s="5"/>
      <c r="C76" s="4"/>
      <c r="D76" s="5"/>
      <c r="E76" s="4"/>
      <c r="F76" s="5"/>
      <c r="G76" s="4"/>
      <c r="H76" s="5"/>
      <c r="J76" s="5"/>
    </row>
    <row r="77" spans="1:10" x14ac:dyDescent="0.3">
      <c r="A77" s="2" t="s">
        <v>3</v>
      </c>
      <c r="B77" s="4"/>
      <c r="C77" s="4"/>
      <c r="D77" s="4"/>
      <c r="E77" s="4"/>
      <c r="F77" s="4"/>
      <c r="G77" s="4"/>
      <c r="H77" s="4"/>
      <c r="J77" s="4"/>
    </row>
    <row r="78" spans="1:10" x14ac:dyDescent="0.3">
      <c r="A78" s="2" t="s">
        <v>10</v>
      </c>
      <c r="B78" s="4"/>
      <c r="C78" s="4"/>
      <c r="D78" s="4"/>
      <c r="E78" s="4"/>
      <c r="F78" s="4"/>
      <c r="G78" s="4"/>
      <c r="H78" s="4"/>
      <c r="J78" s="4"/>
    </row>
    <row r="79" spans="1:10" x14ac:dyDescent="0.3">
      <c r="A79" s="1" t="s">
        <v>42</v>
      </c>
      <c r="B79" s="5">
        <v>1248613</v>
      </c>
      <c r="C79" s="4"/>
      <c r="D79" s="5">
        <v>0</v>
      </c>
      <c r="E79" s="4"/>
      <c r="F79" s="5">
        <f>B79+D79</f>
        <v>1248613</v>
      </c>
      <c r="G79" s="4"/>
      <c r="H79" s="5">
        <v>0</v>
      </c>
      <c r="J79" s="5">
        <f>F79+H79</f>
        <v>1248613</v>
      </c>
    </row>
    <row r="80" spans="1:10" x14ac:dyDescent="0.3">
      <c r="A80" s="1" t="s">
        <v>41</v>
      </c>
      <c r="B80" s="4">
        <v>52388</v>
      </c>
      <c r="C80" s="4"/>
      <c r="D80" s="4">
        <v>0</v>
      </c>
      <c r="E80" s="4"/>
      <c r="F80" s="4">
        <f>B80+D80</f>
        <v>52388</v>
      </c>
      <c r="G80" s="4"/>
      <c r="H80" s="4">
        <v>0</v>
      </c>
      <c r="J80" s="4">
        <f>F80+H80</f>
        <v>52388</v>
      </c>
    </row>
    <row r="81" spans="1:10" x14ac:dyDescent="0.3">
      <c r="A81" s="1" t="s">
        <v>40</v>
      </c>
      <c r="B81" s="6">
        <v>468553</v>
      </c>
      <c r="C81" s="4"/>
      <c r="D81" s="6">
        <v>0</v>
      </c>
      <c r="E81" s="4"/>
      <c r="F81" s="6">
        <f>B81+D81</f>
        <v>468553</v>
      </c>
      <c r="G81" s="4"/>
      <c r="H81" s="6">
        <v>0</v>
      </c>
      <c r="J81" s="6">
        <f>F81+H81</f>
        <v>468553</v>
      </c>
    </row>
    <row r="82" spans="1:10" ht="13.5" thickBot="1" x14ac:dyDescent="0.35">
      <c r="A82" s="2"/>
      <c r="B82" s="7">
        <f>SUM(B79:B81)</f>
        <v>1769554</v>
      </c>
      <c r="C82" s="4"/>
      <c r="D82" s="7">
        <f>SUM(D79:D81)</f>
        <v>0</v>
      </c>
      <c r="E82" s="4"/>
      <c r="F82" s="7">
        <f>SUM(F79:F81)</f>
        <v>1769554</v>
      </c>
      <c r="G82" s="4"/>
      <c r="H82" s="7">
        <f>SUM(H79:H81)</f>
        <v>0</v>
      </c>
      <c r="J82" s="7">
        <f>SUM(J79:J81)</f>
        <v>1769554</v>
      </c>
    </row>
    <row r="83" spans="1:10" ht="13.5" thickTop="1" x14ac:dyDescent="0.3">
      <c r="A83" s="2"/>
      <c r="B83" s="5"/>
      <c r="C83" s="4"/>
      <c r="D83" s="5"/>
      <c r="E83" s="4"/>
      <c r="F83" s="5"/>
      <c r="G83" s="4"/>
      <c r="H83" s="5"/>
      <c r="J83" s="5"/>
    </row>
    <row r="84" spans="1:10" x14ac:dyDescent="0.3">
      <c r="A84" s="2" t="s">
        <v>24</v>
      </c>
      <c r="B84" s="4"/>
      <c r="C84" s="4"/>
      <c r="D84" s="4"/>
      <c r="E84" s="4"/>
      <c r="F84" s="4"/>
      <c r="G84" s="4"/>
      <c r="H84" s="4"/>
      <c r="J84" s="4"/>
    </row>
    <row r="85" spans="1:10" x14ac:dyDescent="0.3">
      <c r="A85" s="2" t="s">
        <v>10</v>
      </c>
      <c r="B85" s="4"/>
      <c r="C85" s="4"/>
      <c r="D85" s="4"/>
      <c r="E85" s="4"/>
      <c r="F85" s="4"/>
      <c r="G85" s="4"/>
      <c r="H85" s="4"/>
      <c r="J85" s="4"/>
    </row>
    <row r="86" spans="1:10" x14ac:dyDescent="0.3">
      <c r="A86" s="1" t="s">
        <v>42</v>
      </c>
      <c r="B86" s="5">
        <v>0</v>
      </c>
      <c r="C86" s="4"/>
      <c r="D86" s="5">
        <v>-13903</v>
      </c>
      <c r="E86" s="4"/>
      <c r="F86" s="5">
        <f>B86+D86</f>
        <v>-13903</v>
      </c>
      <c r="G86" s="4"/>
      <c r="H86" s="5">
        <v>13903</v>
      </c>
      <c r="J86" s="5">
        <f>F86+H86</f>
        <v>0</v>
      </c>
    </row>
    <row r="87" spans="1:10" x14ac:dyDescent="0.3">
      <c r="A87" s="1" t="s">
        <v>41</v>
      </c>
      <c r="B87" s="4">
        <v>0</v>
      </c>
      <c r="C87" s="4"/>
      <c r="D87" s="4">
        <v>-45185</v>
      </c>
      <c r="E87" s="4"/>
      <c r="F87" s="4">
        <f>B87+D87</f>
        <v>-45185</v>
      </c>
      <c r="G87" s="4"/>
      <c r="H87" s="4">
        <v>45185</v>
      </c>
      <c r="J87" s="4">
        <f>F87+H87</f>
        <v>0</v>
      </c>
    </row>
    <row r="88" spans="1:10" x14ac:dyDescent="0.3">
      <c r="A88" s="1" t="s">
        <v>40</v>
      </c>
      <c r="B88" s="6">
        <v>0</v>
      </c>
      <c r="C88" s="4"/>
      <c r="D88" s="6">
        <v>-15192</v>
      </c>
      <c r="E88" s="4"/>
      <c r="F88" s="6">
        <f>B88+D88</f>
        <v>-15192</v>
      </c>
      <c r="G88" s="4"/>
      <c r="H88" s="6">
        <v>15192</v>
      </c>
      <c r="J88" s="6">
        <f>F88+H88</f>
        <v>0</v>
      </c>
    </row>
    <row r="89" spans="1:10" ht="13.5" thickBot="1" x14ac:dyDescent="0.35">
      <c r="A89" s="2"/>
      <c r="B89" s="7">
        <f>SUM(B86:B88)</f>
        <v>0</v>
      </c>
      <c r="C89" s="4"/>
      <c r="D89" s="7">
        <f>SUM(D86:D88)</f>
        <v>-74280</v>
      </c>
      <c r="E89" s="4"/>
      <c r="F89" s="7">
        <f>SUM(F86:F88)</f>
        <v>-74280</v>
      </c>
      <c r="G89" s="4"/>
      <c r="H89" s="7">
        <f>SUM(H86:H88)</f>
        <v>74280</v>
      </c>
      <c r="J89" s="7">
        <f>SUM(J86:J88)</f>
        <v>0</v>
      </c>
    </row>
    <row r="90" spans="1:10" ht="13.5" thickTop="1" x14ac:dyDescent="0.3">
      <c r="A90" s="2"/>
      <c r="B90" s="5"/>
      <c r="C90" s="4"/>
      <c r="D90" s="5"/>
      <c r="E90" s="4"/>
      <c r="F90" s="5"/>
      <c r="G90" s="4"/>
      <c r="H90" s="5"/>
      <c r="J90" s="5"/>
    </row>
    <row r="91" spans="1:10" x14ac:dyDescent="0.3">
      <c r="A91" s="2" t="s">
        <v>25</v>
      </c>
      <c r="B91" s="4"/>
      <c r="C91" s="4"/>
      <c r="D91" s="4"/>
      <c r="E91" s="4"/>
      <c r="F91" s="4"/>
      <c r="G91" s="4"/>
      <c r="H91" s="4"/>
      <c r="J91" s="4"/>
    </row>
    <row r="92" spans="1:10" x14ac:dyDescent="0.3">
      <c r="A92" s="2" t="s">
        <v>10</v>
      </c>
      <c r="B92" s="4"/>
      <c r="C92" s="4"/>
      <c r="D92" s="4"/>
      <c r="E92" s="4"/>
      <c r="F92" s="4"/>
      <c r="G92" s="4"/>
      <c r="H92" s="4"/>
      <c r="J92" s="4"/>
    </row>
    <row r="93" spans="1:10" x14ac:dyDescent="0.3">
      <c r="A93" s="1" t="s">
        <v>42</v>
      </c>
      <c r="B93" s="5">
        <v>0</v>
      </c>
      <c r="C93" s="4"/>
      <c r="D93" s="5">
        <v>-554106</v>
      </c>
      <c r="E93" s="4"/>
      <c r="F93" s="5">
        <f>B93+D93</f>
        <v>-554106</v>
      </c>
      <c r="G93" s="4"/>
      <c r="H93" s="5">
        <v>554106</v>
      </c>
      <c r="J93" s="5">
        <f>F93+H93</f>
        <v>0</v>
      </c>
    </row>
    <row r="94" spans="1:10" x14ac:dyDescent="0.3">
      <c r="A94" s="1" t="s">
        <v>41</v>
      </c>
      <c r="B94" s="4">
        <v>360038</v>
      </c>
      <c r="C94" s="4"/>
      <c r="D94" s="4">
        <v>0</v>
      </c>
      <c r="E94" s="4"/>
      <c r="F94" s="4">
        <f>B94+D94</f>
        <v>360038</v>
      </c>
      <c r="G94" s="4"/>
      <c r="H94" s="4">
        <v>0</v>
      </c>
      <c r="J94" s="4">
        <f>F94+H94</f>
        <v>360038</v>
      </c>
    </row>
    <row r="95" spans="1:10" x14ac:dyDescent="0.3">
      <c r="A95" s="1" t="s">
        <v>40</v>
      </c>
      <c r="B95" s="6">
        <v>0</v>
      </c>
      <c r="C95" s="4"/>
      <c r="D95" s="6">
        <v>-501872</v>
      </c>
      <c r="E95" s="4"/>
      <c r="F95" s="6">
        <f>B95+D95</f>
        <v>-501872</v>
      </c>
      <c r="G95" s="4"/>
      <c r="H95" s="6">
        <v>501872</v>
      </c>
      <c r="J95" s="6">
        <f>F95+H95</f>
        <v>0</v>
      </c>
    </row>
    <row r="96" spans="1:10" ht="13.5" thickBot="1" x14ac:dyDescent="0.35">
      <c r="A96" s="2"/>
      <c r="B96" s="7">
        <f>SUM(B93:B95)</f>
        <v>360038</v>
      </c>
      <c r="C96" s="4"/>
      <c r="D96" s="7">
        <f>SUM(D93:D95)</f>
        <v>-1055978</v>
      </c>
      <c r="E96" s="4"/>
      <c r="F96" s="7">
        <f>SUM(F93:F95)</f>
        <v>-695940</v>
      </c>
      <c r="G96" s="4"/>
      <c r="H96" s="7">
        <f>SUM(H93:H95)</f>
        <v>1055978</v>
      </c>
      <c r="J96" s="7">
        <f>SUM(J93:J95)</f>
        <v>360038</v>
      </c>
    </row>
    <row r="97" spans="1:10" ht="13.5" thickTop="1" x14ac:dyDescent="0.3">
      <c r="A97" s="2"/>
      <c r="B97" s="5"/>
      <c r="C97" s="4"/>
      <c r="D97" s="5"/>
      <c r="E97" s="4"/>
      <c r="F97" s="5"/>
      <c r="G97" s="4"/>
      <c r="H97" s="5"/>
      <c r="J97" s="5"/>
    </row>
    <row r="98" spans="1:10" x14ac:dyDescent="0.3">
      <c r="A98" s="2" t="s">
        <v>26</v>
      </c>
      <c r="B98" s="4"/>
      <c r="C98" s="4"/>
      <c r="D98" s="4"/>
      <c r="E98" s="4"/>
      <c r="F98" s="4"/>
      <c r="G98" s="4"/>
      <c r="H98" s="4"/>
      <c r="J98" s="4"/>
    </row>
    <row r="99" spans="1:10" x14ac:dyDescent="0.3">
      <c r="A99" s="2" t="s">
        <v>10</v>
      </c>
      <c r="B99" s="4"/>
      <c r="C99" s="4"/>
      <c r="D99" s="4"/>
      <c r="E99" s="4"/>
      <c r="F99" s="4"/>
      <c r="G99" s="4"/>
      <c r="H99" s="4"/>
      <c r="J99" s="4"/>
    </row>
    <row r="100" spans="1:10" x14ac:dyDescent="0.3">
      <c r="A100" s="1" t="s">
        <v>42</v>
      </c>
      <c r="B100" s="5">
        <v>825181</v>
      </c>
      <c r="C100" s="4"/>
      <c r="D100" s="5">
        <v>0</v>
      </c>
      <c r="E100" s="4"/>
      <c r="F100" s="5">
        <f>B100+D100</f>
        <v>825181</v>
      </c>
      <c r="G100" s="4"/>
      <c r="H100" s="5">
        <v>0</v>
      </c>
      <c r="J100" s="5">
        <f>F100+H100</f>
        <v>825181</v>
      </c>
    </row>
    <row r="101" spans="1:10" x14ac:dyDescent="0.3">
      <c r="A101" s="1" t="s">
        <v>41</v>
      </c>
      <c r="B101" s="4">
        <v>2167894</v>
      </c>
      <c r="C101" s="4"/>
      <c r="D101" s="4">
        <v>0</v>
      </c>
      <c r="E101" s="4"/>
      <c r="F101" s="4">
        <f>B101+D101</f>
        <v>2167894</v>
      </c>
      <c r="G101" s="4"/>
      <c r="H101" s="4">
        <v>0</v>
      </c>
      <c r="J101" s="4">
        <f>F101+H101</f>
        <v>2167894</v>
      </c>
    </row>
    <row r="102" spans="1:10" x14ac:dyDescent="0.3">
      <c r="A102" s="1" t="s">
        <v>40</v>
      </c>
      <c r="B102" s="6">
        <v>535250</v>
      </c>
      <c r="C102" s="4"/>
      <c r="D102" s="6">
        <v>0</v>
      </c>
      <c r="E102" s="4"/>
      <c r="F102" s="6">
        <f>B102+D102</f>
        <v>535250</v>
      </c>
      <c r="G102" s="4"/>
      <c r="H102" s="6">
        <v>0</v>
      </c>
      <c r="J102" s="6">
        <f>F102+H102</f>
        <v>535250</v>
      </c>
    </row>
    <row r="103" spans="1:10" ht="13.5" thickBot="1" x14ac:dyDescent="0.35">
      <c r="A103" s="2"/>
      <c r="B103" s="7">
        <f>SUM(B100:B102)</f>
        <v>3528325</v>
      </c>
      <c r="C103" s="4"/>
      <c r="D103" s="7">
        <f>SUM(D100:D102)</f>
        <v>0</v>
      </c>
      <c r="E103" s="4"/>
      <c r="F103" s="7">
        <f>SUM(F100:F102)</f>
        <v>3528325</v>
      </c>
      <c r="G103" s="4"/>
      <c r="H103" s="7">
        <f>SUM(H100:H102)</f>
        <v>0</v>
      </c>
      <c r="J103" s="7">
        <f>SUM(J100:J102)</f>
        <v>3528325</v>
      </c>
    </row>
    <row r="104" spans="1:10" ht="13.5" thickTop="1" x14ac:dyDescent="0.3">
      <c r="A104" s="2"/>
      <c r="B104" s="5"/>
      <c r="C104" s="4"/>
      <c r="D104" s="5"/>
      <c r="E104" s="4"/>
      <c r="F104" s="5"/>
      <c r="G104" s="4"/>
      <c r="H104" s="5"/>
      <c r="J104" s="5"/>
    </row>
    <row r="105" spans="1:10" x14ac:dyDescent="0.3">
      <c r="A105" s="2" t="s">
        <v>27</v>
      </c>
      <c r="B105" s="4"/>
      <c r="C105" s="4"/>
      <c r="D105" s="4"/>
      <c r="E105" s="4"/>
      <c r="F105" s="4"/>
      <c r="G105" s="4"/>
      <c r="H105" s="4"/>
      <c r="J105" s="4"/>
    </row>
    <row r="106" spans="1:10" x14ac:dyDescent="0.3">
      <c r="A106" s="2" t="s">
        <v>10</v>
      </c>
      <c r="B106" s="4"/>
      <c r="C106" s="4"/>
      <c r="D106" s="4"/>
      <c r="E106" s="4"/>
      <c r="F106" s="4"/>
      <c r="G106" s="4"/>
      <c r="H106" s="4"/>
      <c r="J106" s="4"/>
    </row>
    <row r="107" spans="1:10" x14ac:dyDescent="0.3">
      <c r="A107" s="1" t="s">
        <v>42</v>
      </c>
      <c r="B107" s="5">
        <v>12680698</v>
      </c>
      <c r="C107" s="4"/>
      <c r="D107" s="5">
        <v>0</v>
      </c>
      <c r="E107" s="4"/>
      <c r="F107" s="5">
        <f>B107+D107</f>
        <v>12680698</v>
      </c>
      <c r="G107" s="4"/>
      <c r="H107" s="5">
        <v>0</v>
      </c>
      <c r="J107" s="5">
        <f>F107+H107</f>
        <v>12680698</v>
      </c>
    </row>
    <row r="108" spans="1:10" x14ac:dyDescent="0.3">
      <c r="A108" s="1" t="s">
        <v>41</v>
      </c>
      <c r="B108" s="4">
        <v>0</v>
      </c>
      <c r="C108" s="4"/>
      <c r="D108" s="4">
        <v>-738612</v>
      </c>
      <c r="E108" s="4"/>
      <c r="F108" s="4">
        <f>B108+D108</f>
        <v>-738612</v>
      </c>
      <c r="G108" s="4"/>
      <c r="H108" s="4">
        <v>738612</v>
      </c>
      <c r="J108" s="4">
        <f>F108+H108</f>
        <v>0</v>
      </c>
    </row>
    <row r="109" spans="1:10" x14ac:dyDescent="0.3">
      <c r="A109" s="1" t="s">
        <v>40</v>
      </c>
      <c r="B109" s="6">
        <v>1787070</v>
      </c>
      <c r="C109" s="4"/>
      <c r="D109" s="6">
        <v>0</v>
      </c>
      <c r="E109" s="4"/>
      <c r="F109" s="6">
        <f>B109+D109</f>
        <v>1787070</v>
      </c>
      <c r="G109" s="4"/>
      <c r="H109" s="6">
        <v>0</v>
      </c>
      <c r="J109" s="6">
        <f>F109+H109</f>
        <v>1787070</v>
      </c>
    </row>
    <row r="110" spans="1:10" ht="13.5" thickBot="1" x14ac:dyDescent="0.35">
      <c r="A110" s="2"/>
      <c r="B110" s="7">
        <f>SUM(B107:B109)</f>
        <v>14467768</v>
      </c>
      <c r="C110" s="4"/>
      <c r="D110" s="7">
        <f>SUM(D107:D109)</f>
        <v>-738612</v>
      </c>
      <c r="E110" s="4"/>
      <c r="F110" s="7">
        <f>SUM(F107:F109)</f>
        <v>13729156</v>
      </c>
      <c r="G110" s="4"/>
      <c r="H110" s="7">
        <f>SUM(H107:H109)</f>
        <v>738612</v>
      </c>
      <c r="J110" s="7">
        <f>SUM(J107:J109)</f>
        <v>14467768</v>
      </c>
    </row>
    <row r="111" spans="1:10" ht="13.5" thickTop="1" x14ac:dyDescent="0.3">
      <c r="A111" s="2"/>
      <c r="B111" s="5"/>
      <c r="C111" s="4"/>
      <c r="D111" s="5"/>
      <c r="E111" s="4"/>
      <c r="F111" s="5"/>
      <c r="G111" s="4"/>
      <c r="H111" s="5"/>
      <c r="J111" s="5"/>
    </row>
    <row r="112" spans="1:10" x14ac:dyDescent="0.3">
      <c r="A112" s="2" t="s">
        <v>28</v>
      </c>
      <c r="B112" s="4"/>
      <c r="C112" s="4"/>
      <c r="D112" s="4"/>
      <c r="E112" s="4"/>
      <c r="F112" s="4"/>
      <c r="G112" s="4"/>
      <c r="H112" s="4"/>
      <c r="J112" s="4"/>
    </row>
    <row r="113" spans="1:10" x14ac:dyDescent="0.3">
      <c r="A113" s="2" t="s">
        <v>10</v>
      </c>
      <c r="B113" s="4"/>
      <c r="C113" s="4"/>
      <c r="D113" s="4"/>
      <c r="E113" s="4"/>
      <c r="F113" s="4"/>
      <c r="G113" s="4"/>
      <c r="H113" s="4"/>
      <c r="J113" s="4"/>
    </row>
    <row r="114" spans="1:10" x14ac:dyDescent="0.3">
      <c r="A114" s="1" t="s">
        <v>42</v>
      </c>
      <c r="B114" s="5">
        <v>0</v>
      </c>
      <c r="C114" s="4"/>
      <c r="D114" s="5">
        <v>-18153</v>
      </c>
      <c r="E114" s="4"/>
      <c r="F114" s="5">
        <f>B114+D114</f>
        <v>-18153</v>
      </c>
      <c r="G114" s="4"/>
      <c r="H114" s="5">
        <v>18153</v>
      </c>
      <c r="J114" s="5">
        <f>F114+H114</f>
        <v>0</v>
      </c>
    </row>
    <row r="115" spans="1:10" x14ac:dyDescent="0.3">
      <c r="A115" s="1" t="s">
        <v>40</v>
      </c>
      <c r="B115" s="6">
        <v>32600</v>
      </c>
      <c r="C115" s="4"/>
      <c r="D115" s="6">
        <v>0</v>
      </c>
      <c r="E115" s="4"/>
      <c r="F115" s="6">
        <f>B115+D115</f>
        <v>32600</v>
      </c>
      <c r="G115" s="4"/>
      <c r="H115" s="6">
        <v>0</v>
      </c>
      <c r="J115" s="6">
        <f>F115+H115</f>
        <v>32600</v>
      </c>
    </row>
    <row r="116" spans="1:10" ht="13.5" thickBot="1" x14ac:dyDescent="0.35">
      <c r="A116" s="2"/>
      <c r="B116" s="7">
        <f>SUM(B114:B115)</f>
        <v>32600</v>
      </c>
      <c r="C116" s="4"/>
      <c r="D116" s="7">
        <f>SUM(D114:D115)</f>
        <v>-18153</v>
      </c>
      <c r="E116" s="4"/>
      <c r="F116" s="7">
        <f>SUM(F114:F115)</f>
        <v>14447</v>
      </c>
      <c r="G116" s="4"/>
      <c r="H116" s="7">
        <f>SUM(H114:H115)</f>
        <v>18153</v>
      </c>
      <c r="J116" s="7">
        <f>SUM(J114:J115)</f>
        <v>32600</v>
      </c>
    </row>
    <row r="117" spans="1:10" ht="13.5" thickTop="1" x14ac:dyDescent="0.3">
      <c r="A117" s="2"/>
      <c r="B117" s="5"/>
      <c r="C117" s="4"/>
      <c r="D117" s="5"/>
      <c r="E117" s="4"/>
      <c r="F117" s="5"/>
      <c r="G117" s="4"/>
      <c r="H117" s="5"/>
      <c r="J117" s="5"/>
    </row>
    <row r="118" spans="1:10" x14ac:dyDescent="0.3">
      <c r="A118" s="2" t="s">
        <v>29</v>
      </c>
      <c r="B118" s="4"/>
      <c r="C118" s="4"/>
      <c r="D118" s="4"/>
      <c r="E118" s="4"/>
      <c r="F118" s="4"/>
      <c r="G118" s="4"/>
      <c r="H118" s="4"/>
      <c r="J118" s="4"/>
    </row>
    <row r="119" spans="1:10" x14ac:dyDescent="0.3">
      <c r="A119" s="2" t="s">
        <v>10</v>
      </c>
      <c r="B119" s="4"/>
      <c r="C119" s="4"/>
      <c r="D119" s="4"/>
      <c r="E119" s="4"/>
      <c r="F119" s="4"/>
      <c r="G119" s="4"/>
      <c r="H119" s="4"/>
      <c r="J119" s="4"/>
    </row>
    <row r="120" spans="1:10" x14ac:dyDescent="0.3">
      <c r="A120" s="1" t="s">
        <v>42</v>
      </c>
      <c r="B120" s="5">
        <v>94667</v>
      </c>
      <c r="C120" s="4"/>
      <c r="D120" s="5">
        <v>0</v>
      </c>
      <c r="E120" s="4"/>
      <c r="F120" s="5">
        <f>B120+D120</f>
        <v>94667</v>
      </c>
      <c r="G120" s="4"/>
      <c r="H120" s="5">
        <v>0</v>
      </c>
      <c r="J120" s="5">
        <f>F120+H120</f>
        <v>94667</v>
      </c>
    </row>
    <row r="121" spans="1:10" x14ac:dyDescent="0.3">
      <c r="A121" s="1" t="s">
        <v>41</v>
      </c>
      <c r="B121" s="4">
        <v>341443</v>
      </c>
      <c r="C121" s="4"/>
      <c r="D121" s="4">
        <v>0</v>
      </c>
      <c r="E121" s="4"/>
      <c r="F121" s="4">
        <f>B121+D121</f>
        <v>341443</v>
      </c>
      <c r="G121" s="4"/>
      <c r="H121" s="4">
        <v>0</v>
      </c>
      <c r="J121" s="4">
        <f>F121+H121</f>
        <v>341443</v>
      </c>
    </row>
    <row r="122" spans="1:10" x14ac:dyDescent="0.3">
      <c r="A122" s="1" t="s">
        <v>40</v>
      </c>
      <c r="B122" s="6">
        <v>54471</v>
      </c>
      <c r="C122" s="4"/>
      <c r="D122" s="6">
        <v>0</v>
      </c>
      <c r="E122" s="4"/>
      <c r="F122" s="6">
        <f>B122+D122</f>
        <v>54471</v>
      </c>
      <c r="G122" s="4"/>
      <c r="H122" s="6">
        <v>0</v>
      </c>
      <c r="J122" s="6">
        <f>F122+H122</f>
        <v>54471</v>
      </c>
    </row>
    <row r="123" spans="1:10" ht="13.5" thickBot="1" x14ac:dyDescent="0.35">
      <c r="A123" s="2"/>
      <c r="B123" s="7">
        <f>SUM(B120:B122)</f>
        <v>490581</v>
      </c>
      <c r="C123" s="4"/>
      <c r="D123" s="7">
        <f>SUM(D120:D122)</f>
        <v>0</v>
      </c>
      <c r="E123" s="4"/>
      <c r="F123" s="7">
        <f>SUM(F120:F122)</f>
        <v>490581</v>
      </c>
      <c r="G123" s="4"/>
      <c r="H123" s="7">
        <f>SUM(H120:H122)</f>
        <v>0</v>
      </c>
      <c r="J123" s="7">
        <f>SUM(J120:J122)</f>
        <v>490581</v>
      </c>
    </row>
    <row r="124" spans="1:10" ht="13.5" thickTop="1" x14ac:dyDescent="0.3"/>
    <row r="125" spans="1:10" x14ac:dyDescent="0.3">
      <c r="A125" s="2" t="s">
        <v>30</v>
      </c>
      <c r="B125" s="4"/>
      <c r="C125" s="4"/>
      <c r="D125" s="4"/>
      <c r="E125" s="4"/>
      <c r="F125" s="4"/>
      <c r="G125" s="4"/>
      <c r="H125" s="4"/>
      <c r="J125" s="4"/>
    </row>
    <row r="126" spans="1:10" x14ac:dyDescent="0.3">
      <c r="A126" s="2" t="s">
        <v>10</v>
      </c>
      <c r="B126" s="4"/>
      <c r="C126" s="4"/>
      <c r="D126" s="4"/>
      <c r="E126" s="4"/>
      <c r="F126" s="4"/>
      <c r="G126" s="4"/>
      <c r="H126" s="4"/>
      <c r="J126" s="4"/>
    </row>
    <row r="127" spans="1:10" x14ac:dyDescent="0.3">
      <c r="A127" s="1" t="s">
        <v>42</v>
      </c>
      <c r="B127" s="5">
        <v>0</v>
      </c>
      <c r="C127" s="4"/>
      <c r="D127" s="5">
        <v>-124606</v>
      </c>
      <c r="E127" s="4"/>
      <c r="F127" s="5">
        <f>B127+D127</f>
        <v>-124606</v>
      </c>
      <c r="G127" s="4"/>
      <c r="H127" s="5">
        <v>124606</v>
      </c>
      <c r="J127" s="5">
        <f>F127+H127</f>
        <v>0</v>
      </c>
    </row>
    <row r="128" spans="1:10" x14ac:dyDescent="0.3">
      <c r="A128" s="1" t="s">
        <v>41</v>
      </c>
      <c r="B128" s="4">
        <v>426292</v>
      </c>
      <c r="C128" s="4"/>
      <c r="D128" s="4">
        <v>0</v>
      </c>
      <c r="E128" s="4"/>
      <c r="F128" s="4">
        <f>B128+D128</f>
        <v>426292</v>
      </c>
      <c r="G128" s="4"/>
      <c r="H128" s="4">
        <v>0</v>
      </c>
      <c r="J128" s="4">
        <f>F128+H128</f>
        <v>426292</v>
      </c>
    </row>
    <row r="129" spans="1:10" x14ac:dyDescent="0.3">
      <c r="A129" s="1" t="s">
        <v>40</v>
      </c>
      <c r="B129" s="6">
        <v>0</v>
      </c>
      <c r="C129" s="4"/>
      <c r="D129" s="6">
        <v>-168269</v>
      </c>
      <c r="E129" s="4"/>
      <c r="F129" s="6">
        <f>B129+D129</f>
        <v>-168269</v>
      </c>
      <c r="G129" s="4"/>
      <c r="H129" s="6">
        <v>168269</v>
      </c>
      <c r="J129" s="6">
        <f>F129+H129</f>
        <v>0</v>
      </c>
    </row>
    <row r="130" spans="1:10" ht="13.5" thickBot="1" x14ac:dyDescent="0.35">
      <c r="A130" s="2"/>
      <c r="B130" s="7">
        <f>SUM(B127:B129)</f>
        <v>426292</v>
      </c>
      <c r="C130" s="4"/>
      <c r="D130" s="7">
        <f>SUM(D127:D129)</f>
        <v>-292875</v>
      </c>
      <c r="E130" s="4"/>
      <c r="F130" s="7">
        <f>SUM(F127:F129)</f>
        <v>133417</v>
      </c>
      <c r="G130" s="4"/>
      <c r="H130" s="7">
        <f>SUM(H127:H129)</f>
        <v>292875</v>
      </c>
      <c r="J130" s="7">
        <f>SUM(J127:J129)</f>
        <v>426292</v>
      </c>
    </row>
    <row r="131" spans="1:10" ht="13.5" thickTop="1" x14ac:dyDescent="0.3">
      <c r="A131" s="2"/>
      <c r="B131" s="4"/>
      <c r="C131" s="4"/>
      <c r="D131" s="4"/>
      <c r="E131" s="4"/>
      <c r="F131" s="4"/>
      <c r="G131" s="4"/>
      <c r="H131" s="4"/>
      <c r="J131" s="4"/>
    </row>
    <row r="132" spans="1:10" x14ac:dyDescent="0.3">
      <c r="A132" s="2" t="s">
        <v>4</v>
      </c>
      <c r="B132" s="4"/>
      <c r="C132" s="4"/>
      <c r="D132" s="4"/>
      <c r="E132" s="4"/>
      <c r="F132" s="4"/>
      <c r="G132" s="4"/>
      <c r="H132" s="4"/>
      <c r="J132" s="4"/>
    </row>
    <row r="133" spans="1:10" x14ac:dyDescent="0.3">
      <c r="A133" s="2" t="s">
        <v>10</v>
      </c>
      <c r="B133" s="4"/>
      <c r="C133" s="4"/>
      <c r="D133" s="4"/>
      <c r="E133" s="4"/>
      <c r="F133" s="4"/>
      <c r="G133" s="4"/>
      <c r="H133" s="4"/>
      <c r="J133" s="4"/>
    </row>
    <row r="134" spans="1:10" x14ac:dyDescent="0.3">
      <c r="A134" s="1" t="s">
        <v>42</v>
      </c>
      <c r="B134" s="5">
        <v>13104981</v>
      </c>
      <c r="C134" s="4"/>
      <c r="D134" s="5">
        <v>0</v>
      </c>
      <c r="E134" s="4"/>
      <c r="F134" s="5">
        <f>B134+D134</f>
        <v>13104981</v>
      </c>
      <c r="G134" s="4"/>
      <c r="H134" s="5">
        <v>0</v>
      </c>
      <c r="J134" s="5">
        <f>F134+H134</f>
        <v>13104981</v>
      </c>
    </row>
    <row r="135" spans="1:10" x14ac:dyDescent="0.3">
      <c r="A135" s="1" t="s">
        <v>41</v>
      </c>
      <c r="B135" s="4">
        <v>9278764</v>
      </c>
      <c r="C135" s="4"/>
      <c r="D135" s="4">
        <v>0</v>
      </c>
      <c r="E135" s="4"/>
      <c r="F135" s="4">
        <f>B135+D135</f>
        <v>9278764</v>
      </c>
      <c r="G135" s="4"/>
      <c r="H135" s="4">
        <v>0</v>
      </c>
      <c r="J135" s="4">
        <f>F135+H135</f>
        <v>9278764</v>
      </c>
    </row>
    <row r="136" spans="1:10" x14ac:dyDescent="0.3">
      <c r="A136" s="1" t="s">
        <v>40</v>
      </c>
      <c r="B136" s="6">
        <v>214085</v>
      </c>
      <c r="C136" s="4"/>
      <c r="D136" s="6">
        <v>0</v>
      </c>
      <c r="E136" s="4"/>
      <c r="F136" s="6">
        <f>B136+D136</f>
        <v>214085</v>
      </c>
      <c r="G136" s="4"/>
      <c r="H136" s="6">
        <v>0</v>
      </c>
      <c r="J136" s="6">
        <f>F136+H136</f>
        <v>214085</v>
      </c>
    </row>
    <row r="137" spans="1:10" ht="13.5" thickBot="1" x14ac:dyDescent="0.35">
      <c r="A137" s="2"/>
      <c r="B137" s="7">
        <f>SUM(B134:B136)</f>
        <v>22597830</v>
      </c>
      <c r="C137" s="4"/>
      <c r="D137" s="7">
        <f>SUM(D134:D136)</f>
        <v>0</v>
      </c>
      <c r="E137" s="4"/>
      <c r="F137" s="7">
        <f>SUM(F134:F136)</f>
        <v>22597830</v>
      </c>
      <c r="G137" s="4"/>
      <c r="H137" s="7">
        <f>SUM(H134:H136)</f>
        <v>0</v>
      </c>
      <c r="J137" s="7">
        <f>SUM(J134:J136)</f>
        <v>22597830</v>
      </c>
    </row>
    <row r="138" spans="1:10" ht="13.5" thickTop="1" x14ac:dyDescent="0.3">
      <c r="A138" s="2"/>
      <c r="B138" s="5"/>
      <c r="C138" s="4"/>
      <c r="D138" s="5"/>
      <c r="E138" s="4"/>
      <c r="F138" s="5"/>
      <c r="G138" s="4"/>
      <c r="H138" s="5"/>
      <c r="J138" s="5"/>
    </row>
    <row r="139" spans="1:10" x14ac:dyDescent="0.3">
      <c r="A139" s="2" t="s">
        <v>31</v>
      </c>
      <c r="B139" s="4"/>
      <c r="C139" s="4"/>
      <c r="D139" s="4"/>
      <c r="E139" s="4"/>
      <c r="F139" s="4"/>
      <c r="G139" s="4"/>
      <c r="H139" s="4"/>
      <c r="J139" s="4"/>
    </row>
    <row r="140" spans="1:10" x14ac:dyDescent="0.3">
      <c r="A140" s="2" t="s">
        <v>10</v>
      </c>
      <c r="B140" s="4"/>
      <c r="C140" s="4"/>
      <c r="D140" s="4"/>
      <c r="E140" s="4"/>
      <c r="F140" s="4"/>
      <c r="G140" s="4"/>
      <c r="H140" s="4"/>
      <c r="J140" s="4"/>
    </row>
    <row r="141" spans="1:10" x14ac:dyDescent="0.3">
      <c r="A141" s="1" t="s">
        <v>42</v>
      </c>
      <c r="B141" s="5">
        <v>0</v>
      </c>
      <c r="C141" s="4"/>
      <c r="D141" s="5">
        <v>-22584</v>
      </c>
      <c r="E141" s="4"/>
      <c r="F141" s="5">
        <f>B141+D141</f>
        <v>-22584</v>
      </c>
      <c r="G141" s="4"/>
      <c r="H141" s="5">
        <v>22584</v>
      </c>
      <c r="J141" s="5">
        <f>F141+H141</f>
        <v>0</v>
      </c>
    </row>
    <row r="142" spans="1:10" x14ac:dyDescent="0.3">
      <c r="A142" s="1" t="s">
        <v>41</v>
      </c>
      <c r="B142" s="4">
        <v>0</v>
      </c>
      <c r="C142" s="4"/>
      <c r="D142" s="4">
        <v>-33149</v>
      </c>
      <c r="E142" s="4"/>
      <c r="F142" s="4">
        <f>B142+D142</f>
        <v>-33149</v>
      </c>
      <c r="G142" s="4"/>
      <c r="H142" s="4">
        <v>33149</v>
      </c>
      <c r="J142" s="4">
        <f>F142+H142</f>
        <v>0</v>
      </c>
    </row>
    <row r="143" spans="1:10" x14ac:dyDescent="0.3">
      <c r="A143" s="1" t="s">
        <v>40</v>
      </c>
      <c r="B143" s="6">
        <v>0</v>
      </c>
      <c r="C143" s="4"/>
      <c r="D143" s="6">
        <v>-27701</v>
      </c>
      <c r="E143" s="4"/>
      <c r="F143" s="6">
        <f>B143+D143</f>
        <v>-27701</v>
      </c>
      <c r="G143" s="4"/>
      <c r="H143" s="6">
        <v>27701</v>
      </c>
      <c r="J143" s="6">
        <f>F143+H143</f>
        <v>0</v>
      </c>
    </row>
    <row r="144" spans="1:10" ht="13.5" thickBot="1" x14ac:dyDescent="0.35">
      <c r="A144" s="2"/>
      <c r="B144" s="7">
        <f>SUM(B141:B143)</f>
        <v>0</v>
      </c>
      <c r="C144" s="4"/>
      <c r="D144" s="7">
        <f>SUM(D141:D143)</f>
        <v>-83434</v>
      </c>
      <c r="E144" s="4"/>
      <c r="F144" s="7">
        <f>SUM(F141:F143)</f>
        <v>-83434</v>
      </c>
      <c r="G144" s="4"/>
      <c r="H144" s="7">
        <f>SUM(H141:H143)</f>
        <v>83434</v>
      </c>
      <c r="J144" s="7">
        <f>SUM(J141:J143)</f>
        <v>0</v>
      </c>
    </row>
    <row r="145" spans="1:10" ht="13.5" thickTop="1" x14ac:dyDescent="0.3">
      <c r="A145" s="2"/>
      <c r="B145" s="5"/>
      <c r="C145" s="4"/>
      <c r="D145" s="5"/>
      <c r="E145" s="4"/>
      <c r="F145" s="5"/>
      <c r="G145" s="4"/>
      <c r="H145" s="5"/>
      <c r="J145" s="5"/>
    </row>
    <row r="146" spans="1:10" x14ac:dyDescent="0.3">
      <c r="A146" s="2" t="s">
        <v>32</v>
      </c>
      <c r="B146" s="4"/>
      <c r="C146" s="4"/>
      <c r="D146" s="4"/>
      <c r="E146" s="4"/>
      <c r="F146" s="4"/>
      <c r="G146" s="4"/>
      <c r="H146" s="4"/>
      <c r="J146" s="4"/>
    </row>
    <row r="147" spans="1:10" x14ac:dyDescent="0.3">
      <c r="A147" s="2" t="s">
        <v>10</v>
      </c>
      <c r="B147" s="4"/>
      <c r="C147" s="4"/>
      <c r="D147" s="4"/>
      <c r="E147" s="4"/>
      <c r="F147" s="4"/>
      <c r="G147" s="4"/>
      <c r="H147" s="4"/>
      <c r="J147" s="4"/>
    </row>
    <row r="148" spans="1:10" x14ac:dyDescent="0.3">
      <c r="A148" s="1" t="s">
        <v>42</v>
      </c>
      <c r="B148" s="5">
        <v>20305</v>
      </c>
      <c r="C148" s="4"/>
      <c r="D148" s="5">
        <v>0</v>
      </c>
      <c r="E148" s="4"/>
      <c r="F148" s="5">
        <f>B148+D148</f>
        <v>20305</v>
      </c>
      <c r="G148" s="4"/>
      <c r="H148" s="5">
        <v>0</v>
      </c>
      <c r="J148" s="5">
        <f>F148+H148</f>
        <v>20305</v>
      </c>
    </row>
    <row r="149" spans="1:10" x14ac:dyDescent="0.3">
      <c r="A149" s="1" t="s">
        <v>41</v>
      </c>
      <c r="B149" s="4">
        <v>77240</v>
      </c>
      <c r="C149" s="4"/>
      <c r="D149" s="4">
        <v>0</v>
      </c>
      <c r="E149" s="4"/>
      <c r="F149" s="4">
        <f>B149+D149</f>
        <v>77240</v>
      </c>
      <c r="G149" s="4"/>
      <c r="H149" s="4">
        <v>0</v>
      </c>
      <c r="J149" s="4">
        <f>F149+H149</f>
        <v>77240</v>
      </c>
    </row>
    <row r="150" spans="1:10" x14ac:dyDescent="0.3">
      <c r="A150" s="1" t="s">
        <v>40</v>
      </c>
      <c r="B150" s="6">
        <v>64126</v>
      </c>
      <c r="C150" s="4"/>
      <c r="D150" s="6">
        <v>0</v>
      </c>
      <c r="E150" s="4"/>
      <c r="F150" s="6">
        <f>B150+D150</f>
        <v>64126</v>
      </c>
      <c r="G150" s="4"/>
      <c r="H150" s="6">
        <v>0</v>
      </c>
      <c r="J150" s="6">
        <f>F150+H150</f>
        <v>64126</v>
      </c>
    </row>
    <row r="151" spans="1:10" ht="13.5" thickBot="1" x14ac:dyDescent="0.35">
      <c r="A151" s="2"/>
      <c r="B151" s="7">
        <f>SUM(B148:B150)</f>
        <v>161671</v>
      </c>
      <c r="C151" s="4"/>
      <c r="D151" s="7">
        <f>SUM(D148:D150)</f>
        <v>0</v>
      </c>
      <c r="E151" s="4"/>
      <c r="F151" s="7">
        <f>SUM(F148:F150)</f>
        <v>161671</v>
      </c>
      <c r="G151" s="4"/>
      <c r="H151" s="7">
        <f>SUM(H148:H150)</f>
        <v>0</v>
      </c>
      <c r="J151" s="7">
        <f>SUM(J148:J150)</f>
        <v>161671</v>
      </c>
    </row>
    <row r="152" spans="1:10" ht="13.5" thickTop="1" x14ac:dyDescent="0.3">
      <c r="A152" s="2"/>
      <c r="B152" s="5"/>
      <c r="C152" s="4"/>
      <c r="D152" s="5"/>
      <c r="E152" s="4"/>
      <c r="F152" s="5"/>
      <c r="G152" s="4"/>
      <c r="H152" s="5"/>
      <c r="J152" s="5"/>
    </row>
    <row r="153" spans="1:10" x14ac:dyDescent="0.3">
      <c r="A153" s="2" t="s">
        <v>5</v>
      </c>
      <c r="B153" s="4"/>
      <c r="C153" s="4"/>
      <c r="D153" s="4"/>
      <c r="E153" s="4"/>
      <c r="F153" s="4"/>
      <c r="G153" s="4"/>
      <c r="H153" s="4"/>
      <c r="J153" s="4"/>
    </row>
    <row r="154" spans="1:10" x14ac:dyDescent="0.3">
      <c r="A154" s="2" t="s">
        <v>10</v>
      </c>
      <c r="B154" s="4"/>
      <c r="C154" s="4"/>
      <c r="D154" s="4"/>
      <c r="E154" s="4"/>
      <c r="F154" s="4"/>
      <c r="G154" s="4"/>
      <c r="H154" s="4"/>
      <c r="J154" s="4"/>
    </row>
    <row r="155" spans="1:10" x14ac:dyDescent="0.3">
      <c r="A155" s="1" t="s">
        <v>42</v>
      </c>
      <c r="B155" s="5">
        <v>0</v>
      </c>
      <c r="C155" s="4"/>
      <c r="D155" s="5">
        <v>-12018</v>
      </c>
      <c r="E155" s="4"/>
      <c r="F155" s="5">
        <f>B155+D155</f>
        <v>-12018</v>
      </c>
      <c r="G155" s="4"/>
      <c r="H155" s="5">
        <v>12018</v>
      </c>
      <c r="J155" s="5">
        <f>F155+H155</f>
        <v>0</v>
      </c>
    </row>
    <row r="156" spans="1:10" x14ac:dyDescent="0.3">
      <c r="A156" s="1" t="s">
        <v>41</v>
      </c>
      <c r="B156" s="4">
        <v>4011714</v>
      </c>
      <c r="C156" s="4"/>
      <c r="D156" s="4">
        <v>0</v>
      </c>
      <c r="E156" s="4"/>
      <c r="F156" s="4">
        <f>B156+D156</f>
        <v>4011714</v>
      </c>
      <c r="G156" s="4"/>
      <c r="H156" s="4">
        <v>0</v>
      </c>
      <c r="J156" s="4">
        <f>F156+H156</f>
        <v>4011714</v>
      </c>
    </row>
    <row r="157" spans="1:10" x14ac:dyDescent="0.3">
      <c r="A157" s="1" t="s">
        <v>40</v>
      </c>
      <c r="B157" s="6">
        <v>0</v>
      </c>
      <c r="C157" s="4"/>
      <c r="D157" s="6">
        <v>-25114</v>
      </c>
      <c r="E157" s="4"/>
      <c r="F157" s="6">
        <f>B157+D157</f>
        <v>-25114</v>
      </c>
      <c r="G157" s="4"/>
      <c r="H157" s="6">
        <v>25114</v>
      </c>
      <c r="J157" s="6">
        <f>F157+H157</f>
        <v>0</v>
      </c>
    </row>
    <row r="158" spans="1:10" ht="13.5" thickBot="1" x14ac:dyDescent="0.35">
      <c r="A158" s="2"/>
      <c r="B158" s="7">
        <f>SUM(B155:B157)</f>
        <v>4011714</v>
      </c>
      <c r="C158" s="4"/>
      <c r="D158" s="7">
        <f>SUM(D155:D157)</f>
        <v>-37132</v>
      </c>
      <c r="E158" s="4"/>
      <c r="F158" s="7">
        <f>SUM(F155:F157)</f>
        <v>3974582</v>
      </c>
      <c r="G158" s="4"/>
      <c r="H158" s="7">
        <f>SUM(H155:H157)</f>
        <v>37132</v>
      </c>
      <c r="J158" s="7">
        <f>SUM(J155:J157)</f>
        <v>4011714</v>
      </c>
    </row>
    <row r="159" spans="1:10" ht="13.5" thickTop="1" x14ac:dyDescent="0.3">
      <c r="A159" s="2"/>
      <c r="B159" s="5"/>
      <c r="C159" s="4"/>
      <c r="D159" s="5"/>
      <c r="E159" s="4"/>
      <c r="F159" s="5"/>
      <c r="G159" s="4"/>
      <c r="H159" s="5"/>
      <c r="J159" s="5"/>
    </row>
    <row r="160" spans="1:10" x14ac:dyDescent="0.3">
      <c r="A160" s="2" t="s">
        <v>6</v>
      </c>
      <c r="B160" s="4"/>
      <c r="C160" s="4"/>
      <c r="D160" s="4"/>
      <c r="E160" s="4"/>
      <c r="F160" s="4"/>
      <c r="G160" s="4"/>
      <c r="H160" s="4"/>
      <c r="J160" s="4"/>
    </row>
    <row r="161" spans="1:10" x14ac:dyDescent="0.3">
      <c r="A161" s="2" t="s">
        <v>10</v>
      </c>
      <c r="B161" s="4"/>
      <c r="C161" s="4"/>
      <c r="D161" s="4"/>
      <c r="E161" s="4"/>
      <c r="F161" s="4"/>
      <c r="G161" s="4"/>
      <c r="H161" s="4"/>
      <c r="J161" s="4"/>
    </row>
    <row r="162" spans="1:10" x14ac:dyDescent="0.3">
      <c r="A162" s="1" t="s">
        <v>42</v>
      </c>
      <c r="B162" s="5">
        <v>356098</v>
      </c>
      <c r="C162" s="4"/>
      <c r="D162" s="5">
        <v>0</v>
      </c>
      <c r="E162" s="4"/>
      <c r="F162" s="5">
        <f>B162+D162</f>
        <v>356098</v>
      </c>
      <c r="G162" s="4"/>
      <c r="H162" s="5">
        <v>0</v>
      </c>
      <c r="J162" s="5">
        <f>F162+H162</f>
        <v>356098</v>
      </c>
    </row>
    <row r="163" spans="1:10" x14ac:dyDescent="0.3">
      <c r="A163" s="1" t="s">
        <v>41</v>
      </c>
      <c r="B163" s="4">
        <v>321886</v>
      </c>
      <c r="C163" s="4"/>
      <c r="D163" s="4">
        <v>0</v>
      </c>
      <c r="E163" s="4"/>
      <c r="F163" s="4">
        <f>B163+D163</f>
        <v>321886</v>
      </c>
      <c r="G163" s="4"/>
      <c r="H163" s="4">
        <v>0</v>
      </c>
      <c r="J163" s="4">
        <f>F163+H163</f>
        <v>321886</v>
      </c>
    </row>
    <row r="164" spans="1:10" x14ac:dyDescent="0.3">
      <c r="A164" s="1" t="s">
        <v>40</v>
      </c>
      <c r="B164" s="6">
        <v>277839</v>
      </c>
      <c r="C164" s="4"/>
      <c r="D164" s="6">
        <v>0</v>
      </c>
      <c r="E164" s="4"/>
      <c r="F164" s="6">
        <f>B164+D164</f>
        <v>277839</v>
      </c>
      <c r="G164" s="4"/>
      <c r="H164" s="6">
        <v>0</v>
      </c>
      <c r="J164" s="6">
        <f>F164+H164</f>
        <v>277839</v>
      </c>
    </row>
    <row r="165" spans="1:10" ht="13.5" thickBot="1" x14ac:dyDescent="0.35">
      <c r="A165" s="2"/>
      <c r="B165" s="7">
        <f>SUM(B162:B164)</f>
        <v>955823</v>
      </c>
      <c r="C165" s="4"/>
      <c r="D165" s="7">
        <f>SUM(D162:D164)</f>
        <v>0</v>
      </c>
      <c r="E165" s="4"/>
      <c r="F165" s="7">
        <f>SUM(F162:F164)</f>
        <v>955823</v>
      </c>
      <c r="G165" s="4"/>
      <c r="H165" s="7">
        <f>SUM(H162:H164)</f>
        <v>0</v>
      </c>
      <c r="J165" s="7">
        <f>SUM(J162:J164)</f>
        <v>955823</v>
      </c>
    </row>
    <row r="166" spans="1:10" ht="13.5" thickTop="1" x14ac:dyDescent="0.3">
      <c r="A166" s="2"/>
      <c r="B166" s="5"/>
      <c r="C166" s="4"/>
      <c r="D166" s="5"/>
      <c r="E166" s="4"/>
      <c r="F166" s="5"/>
      <c r="G166" s="4"/>
      <c r="H166" s="5"/>
      <c r="J166" s="5"/>
    </row>
    <row r="167" spans="1:10" x14ac:dyDescent="0.3">
      <c r="A167" s="2" t="s">
        <v>7</v>
      </c>
      <c r="B167" s="4"/>
      <c r="C167" s="4"/>
      <c r="D167" s="4"/>
      <c r="E167" s="4"/>
      <c r="F167" s="4"/>
      <c r="G167" s="4"/>
      <c r="H167" s="4"/>
      <c r="J167" s="4"/>
    </row>
    <row r="168" spans="1:10" x14ac:dyDescent="0.3">
      <c r="A168" s="2" t="s">
        <v>10</v>
      </c>
      <c r="B168" s="4"/>
      <c r="C168" s="4"/>
      <c r="D168" s="4"/>
      <c r="E168" s="4"/>
      <c r="F168" s="4"/>
      <c r="G168" s="4"/>
      <c r="H168" s="4"/>
      <c r="J168" s="4"/>
    </row>
    <row r="169" spans="1:10" x14ac:dyDescent="0.3">
      <c r="A169" s="1" t="s">
        <v>42</v>
      </c>
      <c r="B169" s="5">
        <v>5731764</v>
      </c>
      <c r="C169" s="4"/>
      <c r="D169" s="5">
        <v>0</v>
      </c>
      <c r="E169" s="4"/>
      <c r="F169" s="5">
        <f>B169+D169</f>
        <v>5731764</v>
      </c>
      <c r="G169" s="4"/>
      <c r="H169" s="5">
        <v>0</v>
      </c>
      <c r="J169" s="5">
        <f>F169+H169</f>
        <v>5731764</v>
      </c>
    </row>
    <row r="170" spans="1:10" x14ac:dyDescent="0.3">
      <c r="A170" s="1" t="s">
        <v>41</v>
      </c>
      <c r="B170" s="4">
        <v>1753261</v>
      </c>
      <c r="C170" s="4"/>
      <c r="D170" s="4">
        <v>0</v>
      </c>
      <c r="E170" s="4"/>
      <c r="F170" s="4">
        <f>B170+D170</f>
        <v>1753261</v>
      </c>
      <c r="G170" s="4"/>
      <c r="H170" s="4">
        <v>0</v>
      </c>
      <c r="J170" s="4">
        <f>F170+H170</f>
        <v>1753261</v>
      </c>
    </row>
    <row r="171" spans="1:10" x14ac:dyDescent="0.3">
      <c r="A171" s="1" t="s">
        <v>40</v>
      </c>
      <c r="B171" s="6">
        <v>262484</v>
      </c>
      <c r="C171" s="4"/>
      <c r="D171" s="6">
        <v>0</v>
      </c>
      <c r="E171" s="4"/>
      <c r="F171" s="6">
        <f>B171+D171</f>
        <v>262484</v>
      </c>
      <c r="G171" s="4"/>
      <c r="H171" s="6">
        <v>0</v>
      </c>
      <c r="J171" s="6">
        <f>F171+H171</f>
        <v>262484</v>
      </c>
    </row>
    <row r="172" spans="1:10" ht="13.5" thickBot="1" x14ac:dyDescent="0.35">
      <c r="A172" s="2"/>
      <c r="B172" s="7">
        <f>SUM(B169:B171)</f>
        <v>7747509</v>
      </c>
      <c r="C172" s="4"/>
      <c r="D172" s="7">
        <f>SUM(D169:D171)</f>
        <v>0</v>
      </c>
      <c r="E172" s="4"/>
      <c r="F172" s="7">
        <f>SUM(F169:F171)</f>
        <v>7747509</v>
      </c>
      <c r="G172" s="4"/>
      <c r="H172" s="7">
        <f>SUM(H169:H171)</f>
        <v>0</v>
      </c>
      <c r="J172" s="7">
        <f>SUM(J169:J171)</f>
        <v>7747509</v>
      </c>
    </row>
    <row r="173" spans="1:10" ht="13.5" thickTop="1" x14ac:dyDescent="0.3">
      <c r="A173" s="2"/>
      <c r="B173" s="5"/>
      <c r="C173" s="4"/>
      <c r="D173" s="5"/>
      <c r="E173" s="4"/>
      <c r="F173" s="5"/>
      <c r="G173" s="4"/>
      <c r="H173" s="5"/>
      <c r="J173" s="5"/>
    </row>
    <row r="174" spans="1:10" x14ac:dyDescent="0.3">
      <c r="A174" s="2" t="s">
        <v>8</v>
      </c>
      <c r="B174" s="4"/>
      <c r="C174" s="4"/>
      <c r="D174" s="4"/>
      <c r="E174" s="4"/>
      <c r="F174" s="4"/>
      <c r="G174" s="4"/>
      <c r="H174" s="4"/>
      <c r="J174" s="4"/>
    </row>
    <row r="175" spans="1:10" x14ac:dyDescent="0.3">
      <c r="A175" s="2" t="s">
        <v>10</v>
      </c>
      <c r="B175" s="4"/>
      <c r="C175" s="4"/>
      <c r="D175" s="4"/>
      <c r="E175" s="4"/>
      <c r="F175" s="4"/>
      <c r="G175" s="4"/>
      <c r="H175" s="4"/>
      <c r="J175" s="4"/>
    </row>
    <row r="176" spans="1:10" x14ac:dyDescent="0.3">
      <c r="A176" s="1" t="s">
        <v>42</v>
      </c>
      <c r="B176" s="5">
        <v>0</v>
      </c>
      <c r="C176" s="4"/>
      <c r="D176" s="5">
        <v>-175214</v>
      </c>
      <c r="E176" s="4"/>
      <c r="F176" s="5">
        <f>B176+D176</f>
        <v>-175214</v>
      </c>
      <c r="G176" s="4"/>
      <c r="H176" s="5">
        <v>175214</v>
      </c>
      <c r="J176" s="5">
        <f>F176+H176</f>
        <v>0</v>
      </c>
    </row>
    <row r="177" spans="1:10" x14ac:dyDescent="0.3">
      <c r="A177" s="1" t="s">
        <v>41</v>
      </c>
      <c r="B177" s="4">
        <v>368253</v>
      </c>
      <c r="C177" s="4"/>
      <c r="D177" s="4">
        <v>0</v>
      </c>
      <c r="E177" s="4"/>
      <c r="F177" s="4">
        <f>B177+D177</f>
        <v>368253</v>
      </c>
      <c r="G177" s="4"/>
      <c r="H177" s="4">
        <v>0</v>
      </c>
      <c r="J177" s="4">
        <f>F177+H177</f>
        <v>368253</v>
      </c>
    </row>
    <row r="178" spans="1:10" x14ac:dyDescent="0.3">
      <c r="A178" s="1" t="s">
        <v>40</v>
      </c>
      <c r="B178" s="6">
        <v>72827</v>
      </c>
      <c r="C178" s="4"/>
      <c r="D178" s="6">
        <v>0</v>
      </c>
      <c r="E178" s="4"/>
      <c r="F178" s="6">
        <f>B178+D178</f>
        <v>72827</v>
      </c>
      <c r="G178" s="4"/>
      <c r="H178" s="6">
        <v>0</v>
      </c>
      <c r="J178" s="6">
        <f>F178+H178</f>
        <v>72827</v>
      </c>
    </row>
    <row r="179" spans="1:10" ht="13.5" thickBot="1" x14ac:dyDescent="0.35">
      <c r="A179" s="2"/>
      <c r="B179" s="7">
        <f>SUM(B176:B178)</f>
        <v>441080</v>
      </c>
      <c r="C179" s="4"/>
      <c r="D179" s="7">
        <f>SUM(D176:D178)</f>
        <v>-175214</v>
      </c>
      <c r="E179" s="4"/>
      <c r="F179" s="7">
        <f>SUM(F176:F178)</f>
        <v>265866</v>
      </c>
      <c r="G179" s="4"/>
      <c r="H179" s="7">
        <f>SUM(H176:H178)</f>
        <v>175214</v>
      </c>
      <c r="J179" s="7">
        <f>SUM(J176:J178)</f>
        <v>441080</v>
      </c>
    </row>
    <row r="180" spans="1:10" ht="13.5" thickTop="1" x14ac:dyDescent="0.3">
      <c r="A180" s="2"/>
      <c r="B180" s="5"/>
      <c r="C180" s="4"/>
      <c r="D180" s="5"/>
      <c r="E180" s="4"/>
      <c r="F180" s="5"/>
      <c r="G180" s="4"/>
      <c r="H180" s="5"/>
      <c r="J180" s="5"/>
    </row>
    <row r="181" spans="1:10" x14ac:dyDescent="0.3">
      <c r="A181" s="2" t="s">
        <v>33</v>
      </c>
      <c r="B181" s="4"/>
      <c r="C181" s="4"/>
      <c r="D181" s="4"/>
      <c r="E181" s="4"/>
      <c r="F181" s="4"/>
      <c r="G181" s="4"/>
      <c r="H181" s="4"/>
      <c r="J181" s="4"/>
    </row>
    <row r="182" spans="1:10" x14ac:dyDescent="0.3">
      <c r="A182" s="2" t="s">
        <v>10</v>
      </c>
      <c r="B182" s="4"/>
      <c r="C182" s="4"/>
      <c r="D182" s="4"/>
      <c r="E182" s="4"/>
      <c r="F182" s="4"/>
      <c r="G182" s="4"/>
      <c r="H182" s="4"/>
      <c r="J182" s="4"/>
    </row>
    <row r="183" spans="1:10" x14ac:dyDescent="0.3">
      <c r="A183" s="1" t="s">
        <v>42</v>
      </c>
      <c r="B183" s="5">
        <v>8370</v>
      </c>
      <c r="C183" s="4"/>
      <c r="D183" s="5">
        <v>0</v>
      </c>
      <c r="E183" s="4"/>
      <c r="F183" s="5">
        <f>B183+D183</f>
        <v>8370</v>
      </c>
      <c r="G183" s="4"/>
      <c r="H183" s="5">
        <v>0</v>
      </c>
      <c r="J183" s="5">
        <f>F183+H183</f>
        <v>8370</v>
      </c>
    </row>
    <row r="184" spans="1:10" x14ac:dyDescent="0.3">
      <c r="A184" s="1" t="s">
        <v>41</v>
      </c>
      <c r="B184" s="4">
        <v>294688</v>
      </c>
      <c r="C184" s="4"/>
      <c r="D184" s="4">
        <v>0</v>
      </c>
      <c r="E184" s="4"/>
      <c r="F184" s="4">
        <f>B184+D184</f>
        <v>294688</v>
      </c>
      <c r="G184" s="4"/>
      <c r="H184" s="4">
        <v>0</v>
      </c>
      <c r="J184" s="4">
        <f>F184+H184</f>
        <v>294688</v>
      </c>
    </row>
    <row r="185" spans="1:10" x14ac:dyDescent="0.3">
      <c r="A185" s="1" t="s">
        <v>40</v>
      </c>
      <c r="B185" s="6">
        <v>38392</v>
      </c>
      <c r="C185" s="4"/>
      <c r="D185" s="6">
        <v>0</v>
      </c>
      <c r="E185" s="4"/>
      <c r="F185" s="6">
        <f>B185+D185</f>
        <v>38392</v>
      </c>
      <c r="G185" s="4"/>
      <c r="H185" s="6">
        <v>0</v>
      </c>
      <c r="J185" s="6">
        <f>F185+H185</f>
        <v>38392</v>
      </c>
    </row>
    <row r="186" spans="1:10" ht="13.5" thickBot="1" x14ac:dyDescent="0.35">
      <c r="A186" s="2"/>
      <c r="B186" s="7">
        <f>SUM(B183:B185)</f>
        <v>341450</v>
      </c>
      <c r="C186" s="4"/>
      <c r="D186" s="7">
        <f>SUM(D183:D185)</f>
        <v>0</v>
      </c>
      <c r="E186" s="4"/>
      <c r="F186" s="7">
        <f>SUM(F183:F185)</f>
        <v>341450</v>
      </c>
      <c r="G186" s="4"/>
      <c r="H186" s="7">
        <f>SUM(H183:H185)</f>
        <v>0</v>
      </c>
      <c r="J186" s="7">
        <f>SUM(J183:J185)</f>
        <v>341450</v>
      </c>
    </row>
    <row r="187" spans="1:10" ht="13.5" thickTop="1" x14ac:dyDescent="0.3"/>
    <row r="188" spans="1:10" x14ac:dyDescent="0.3">
      <c r="A188" s="2" t="s">
        <v>34</v>
      </c>
      <c r="B188" s="4"/>
      <c r="C188" s="4"/>
      <c r="D188" s="4"/>
      <c r="E188" s="4"/>
      <c r="F188" s="4"/>
      <c r="G188" s="4"/>
      <c r="H188" s="4"/>
      <c r="J188" s="4"/>
    </row>
    <row r="189" spans="1:10" x14ac:dyDescent="0.3">
      <c r="A189" s="2" t="s">
        <v>10</v>
      </c>
      <c r="B189" s="4"/>
      <c r="C189" s="4"/>
      <c r="D189" s="4"/>
      <c r="E189" s="4"/>
      <c r="F189" s="4"/>
      <c r="G189" s="4"/>
      <c r="H189" s="4"/>
      <c r="J189" s="4"/>
    </row>
    <row r="190" spans="1:10" x14ac:dyDescent="0.3">
      <c r="A190" s="1" t="s">
        <v>42</v>
      </c>
      <c r="B190" s="5">
        <v>5119256</v>
      </c>
      <c r="C190" s="4"/>
      <c r="D190" s="5">
        <v>0</v>
      </c>
      <c r="E190" s="4"/>
      <c r="F190" s="5">
        <f>B190+D190</f>
        <v>5119256</v>
      </c>
      <c r="G190" s="4"/>
      <c r="H190" s="5">
        <v>0</v>
      </c>
      <c r="J190" s="5">
        <f>F190+H190</f>
        <v>5119256</v>
      </c>
    </row>
    <row r="191" spans="1:10" x14ac:dyDescent="0.3">
      <c r="A191" s="1" t="s">
        <v>41</v>
      </c>
      <c r="B191" s="4">
        <v>2225643</v>
      </c>
      <c r="C191" s="4"/>
      <c r="D191" s="4">
        <v>0</v>
      </c>
      <c r="E191" s="4"/>
      <c r="F191" s="4">
        <f>B191+D191</f>
        <v>2225643</v>
      </c>
      <c r="G191" s="4"/>
      <c r="H191" s="4">
        <v>0</v>
      </c>
      <c r="J191" s="4">
        <f>F191+H191</f>
        <v>2225643</v>
      </c>
    </row>
    <row r="192" spans="1:10" x14ac:dyDescent="0.3">
      <c r="A192" s="1" t="s">
        <v>40</v>
      </c>
      <c r="B192" s="6">
        <v>5704647</v>
      </c>
      <c r="C192" s="4"/>
      <c r="D192" s="6">
        <v>0</v>
      </c>
      <c r="E192" s="4"/>
      <c r="F192" s="6">
        <f>B192+D192</f>
        <v>5704647</v>
      </c>
      <c r="G192" s="4"/>
      <c r="H192" s="6">
        <v>0</v>
      </c>
      <c r="J192" s="6">
        <f>F192+H192</f>
        <v>5704647</v>
      </c>
    </row>
    <row r="193" spans="1:10" ht="13.5" thickBot="1" x14ac:dyDescent="0.35">
      <c r="A193" s="2"/>
      <c r="B193" s="7">
        <f>SUM(B190:B192)</f>
        <v>13049546</v>
      </c>
      <c r="C193" s="4"/>
      <c r="D193" s="7">
        <f>SUM(D190:D192)</f>
        <v>0</v>
      </c>
      <c r="E193" s="4"/>
      <c r="F193" s="7">
        <f>SUM(F190:F192)</f>
        <v>13049546</v>
      </c>
      <c r="G193" s="4"/>
      <c r="H193" s="7">
        <f>SUM(H190:H192)</f>
        <v>0</v>
      </c>
      <c r="J193" s="7">
        <f>SUM(J190:J192)</f>
        <v>13049546</v>
      </c>
    </row>
    <row r="194" spans="1:10" ht="13.5" thickTop="1" x14ac:dyDescent="0.3">
      <c r="A194" s="2"/>
      <c r="B194" s="4"/>
      <c r="C194" s="4"/>
      <c r="D194" s="4"/>
      <c r="E194" s="4"/>
      <c r="F194" s="4"/>
      <c r="G194" s="4"/>
      <c r="H194" s="4"/>
      <c r="J194" s="4"/>
    </row>
    <row r="195" spans="1:10" x14ac:dyDescent="0.3">
      <c r="A195" s="2" t="s">
        <v>35</v>
      </c>
      <c r="B195" s="4"/>
      <c r="C195" s="4"/>
      <c r="D195" s="4"/>
      <c r="E195" s="4"/>
      <c r="F195" s="4"/>
      <c r="G195" s="4"/>
      <c r="H195" s="4"/>
      <c r="J195" s="4"/>
    </row>
    <row r="196" spans="1:10" x14ac:dyDescent="0.3">
      <c r="A196" s="2" t="s">
        <v>10</v>
      </c>
      <c r="B196" s="4"/>
      <c r="C196" s="4"/>
      <c r="D196" s="4"/>
      <c r="E196" s="4"/>
      <c r="F196" s="4"/>
      <c r="G196" s="4"/>
      <c r="H196" s="4"/>
      <c r="J196" s="4"/>
    </row>
    <row r="197" spans="1:10" x14ac:dyDescent="0.3">
      <c r="A197" s="1" t="s">
        <v>42</v>
      </c>
      <c r="B197" s="5">
        <v>914688</v>
      </c>
      <c r="C197" s="4"/>
      <c r="D197" s="5">
        <v>0</v>
      </c>
      <c r="E197" s="4"/>
      <c r="F197" s="5">
        <f>B197+D197</f>
        <v>914688</v>
      </c>
      <c r="G197" s="4"/>
      <c r="H197" s="5">
        <v>0</v>
      </c>
      <c r="J197" s="5">
        <f>F197+H197</f>
        <v>914688</v>
      </c>
    </row>
    <row r="198" spans="1:10" x14ac:dyDescent="0.3">
      <c r="A198" s="1" t="s">
        <v>41</v>
      </c>
      <c r="B198" s="4">
        <v>606334</v>
      </c>
      <c r="C198" s="4"/>
      <c r="D198" s="4">
        <v>0</v>
      </c>
      <c r="E198" s="4"/>
      <c r="F198" s="4">
        <f>B198+D198</f>
        <v>606334</v>
      </c>
      <c r="G198" s="4"/>
      <c r="H198" s="4">
        <v>0</v>
      </c>
      <c r="J198" s="4">
        <f>F198+H198</f>
        <v>606334</v>
      </c>
    </row>
    <row r="199" spans="1:10" x14ac:dyDescent="0.3">
      <c r="A199" s="1" t="s">
        <v>40</v>
      </c>
      <c r="B199" s="6">
        <v>161400</v>
      </c>
      <c r="C199" s="4"/>
      <c r="D199" s="6">
        <v>0</v>
      </c>
      <c r="E199" s="4"/>
      <c r="F199" s="6">
        <f>B199+D199</f>
        <v>161400</v>
      </c>
      <c r="G199" s="4"/>
      <c r="H199" s="6">
        <v>0</v>
      </c>
      <c r="J199" s="6">
        <f>F199+H199</f>
        <v>161400</v>
      </c>
    </row>
    <row r="200" spans="1:10" ht="13.5" thickBot="1" x14ac:dyDescent="0.35">
      <c r="A200" s="2"/>
      <c r="B200" s="7">
        <f>SUM(B197:B199)</f>
        <v>1682422</v>
      </c>
      <c r="C200" s="4"/>
      <c r="D200" s="7">
        <f>SUM(D197:D199)</f>
        <v>0</v>
      </c>
      <c r="E200" s="4"/>
      <c r="F200" s="7">
        <f>SUM(F197:F199)</f>
        <v>1682422</v>
      </c>
      <c r="G200" s="4"/>
      <c r="H200" s="7">
        <f>SUM(H197:H199)</f>
        <v>0</v>
      </c>
      <c r="J200" s="7">
        <f>SUM(J197:J199)</f>
        <v>1682422</v>
      </c>
    </row>
    <row r="201" spans="1:10" ht="13.5" thickTop="1" x14ac:dyDescent="0.3">
      <c r="A201" s="2"/>
      <c r="B201" s="5"/>
      <c r="C201" s="4"/>
      <c r="D201" s="5"/>
      <c r="E201" s="4"/>
      <c r="F201" s="5"/>
      <c r="G201" s="4"/>
      <c r="H201" s="5"/>
      <c r="J201" s="5"/>
    </row>
    <row r="202" spans="1:10" x14ac:dyDescent="0.3">
      <c r="A202" s="2" t="s">
        <v>36</v>
      </c>
      <c r="B202" s="4"/>
      <c r="C202" s="4"/>
      <c r="D202" s="4"/>
      <c r="E202" s="4"/>
      <c r="F202" s="4"/>
      <c r="G202" s="4"/>
      <c r="H202" s="4"/>
      <c r="J202" s="4"/>
    </row>
    <row r="203" spans="1:10" x14ac:dyDescent="0.3">
      <c r="A203" s="2" t="s">
        <v>10</v>
      </c>
      <c r="B203" s="4"/>
      <c r="C203" s="4"/>
      <c r="D203" s="4"/>
      <c r="E203" s="4"/>
      <c r="F203" s="4"/>
      <c r="G203" s="4"/>
      <c r="H203" s="4"/>
      <c r="J203" s="4"/>
    </row>
    <row r="204" spans="1:10" x14ac:dyDescent="0.3">
      <c r="A204" s="1" t="s">
        <v>42</v>
      </c>
      <c r="B204" s="5">
        <v>0</v>
      </c>
      <c r="C204" s="4"/>
      <c r="D204" s="5">
        <v>-1035315</v>
      </c>
      <c r="E204" s="4"/>
      <c r="F204" s="5">
        <f>B204+D204</f>
        <v>-1035315</v>
      </c>
      <c r="G204" s="4"/>
      <c r="H204" s="5">
        <v>1035315</v>
      </c>
      <c r="J204" s="5">
        <f>F204+H204</f>
        <v>0</v>
      </c>
    </row>
    <row r="205" spans="1:10" x14ac:dyDescent="0.3">
      <c r="A205" s="1" t="s">
        <v>41</v>
      </c>
      <c r="B205" s="4">
        <v>47488156</v>
      </c>
      <c r="C205" s="4"/>
      <c r="D205" s="4">
        <v>0</v>
      </c>
      <c r="E205" s="4"/>
      <c r="F205" s="4">
        <f>B205+D205</f>
        <v>47488156</v>
      </c>
      <c r="G205" s="4"/>
      <c r="H205" s="4">
        <v>0</v>
      </c>
      <c r="J205" s="4">
        <f>F205+H205</f>
        <v>47488156</v>
      </c>
    </row>
    <row r="206" spans="1:10" x14ac:dyDescent="0.3">
      <c r="A206" s="1" t="s">
        <v>40</v>
      </c>
      <c r="B206" s="6">
        <v>17220096</v>
      </c>
      <c r="C206" s="4"/>
      <c r="D206" s="6">
        <v>0</v>
      </c>
      <c r="E206" s="4"/>
      <c r="F206" s="6">
        <f>B206+D206</f>
        <v>17220096</v>
      </c>
      <c r="G206" s="4"/>
      <c r="H206" s="6">
        <v>0</v>
      </c>
      <c r="J206" s="6">
        <f>F206+H206</f>
        <v>17220096</v>
      </c>
    </row>
    <row r="207" spans="1:10" ht="13.5" thickBot="1" x14ac:dyDescent="0.35">
      <c r="A207" s="2"/>
      <c r="B207" s="7">
        <f>SUM(B204:B206)</f>
        <v>64708252</v>
      </c>
      <c r="C207" s="4"/>
      <c r="D207" s="7">
        <f>SUM(D204:D206)</f>
        <v>-1035315</v>
      </c>
      <c r="E207" s="4"/>
      <c r="F207" s="7">
        <f>SUM(F204:F206)</f>
        <v>63672937</v>
      </c>
      <c r="G207" s="4"/>
      <c r="H207" s="7">
        <f>SUM(H204:H206)</f>
        <v>1035315</v>
      </c>
      <c r="J207" s="7">
        <f>SUM(J204:J206)</f>
        <v>64708252</v>
      </c>
    </row>
    <row r="208" spans="1:10" ht="13.5" thickTop="1" x14ac:dyDescent="0.3">
      <c r="A208" s="2"/>
      <c r="B208" s="5"/>
      <c r="C208" s="4"/>
      <c r="D208" s="5"/>
      <c r="E208" s="4"/>
      <c r="F208" s="5"/>
      <c r="G208" s="4"/>
      <c r="H208" s="5"/>
      <c r="J208" s="5"/>
    </row>
    <row r="209" spans="1:10" x14ac:dyDescent="0.3">
      <c r="A209" s="2" t="s">
        <v>9</v>
      </c>
      <c r="B209" s="4"/>
      <c r="C209" s="4"/>
      <c r="D209" s="4"/>
      <c r="E209" s="4"/>
      <c r="F209" s="4"/>
      <c r="G209" s="4"/>
      <c r="H209" s="4"/>
      <c r="J209" s="4"/>
    </row>
    <row r="210" spans="1:10" x14ac:dyDescent="0.3">
      <c r="A210" s="2" t="s">
        <v>10</v>
      </c>
      <c r="B210" s="4"/>
      <c r="C210" s="4"/>
      <c r="D210" s="4"/>
      <c r="E210" s="4"/>
      <c r="F210" s="4"/>
      <c r="G210" s="4"/>
      <c r="H210" s="4"/>
      <c r="J210" s="4"/>
    </row>
    <row r="211" spans="1:10" x14ac:dyDescent="0.3">
      <c r="A211" s="1" t="s">
        <v>42</v>
      </c>
      <c r="B211" s="5">
        <v>194179</v>
      </c>
      <c r="C211" s="4"/>
      <c r="D211" s="5">
        <v>0</v>
      </c>
      <c r="E211" s="4"/>
      <c r="F211" s="5">
        <f>B211+D211</f>
        <v>194179</v>
      </c>
      <c r="G211" s="4"/>
      <c r="H211" s="5">
        <v>0</v>
      </c>
      <c r="J211" s="5">
        <f>F211+H211</f>
        <v>194179</v>
      </c>
    </row>
    <row r="212" spans="1:10" x14ac:dyDescent="0.3">
      <c r="A212" s="1" t="s">
        <v>41</v>
      </c>
      <c r="B212" s="4">
        <v>290382</v>
      </c>
      <c r="C212" s="4"/>
      <c r="D212" s="4">
        <v>0</v>
      </c>
      <c r="E212" s="4"/>
      <c r="F212" s="4">
        <f>B212+D212</f>
        <v>290382</v>
      </c>
      <c r="G212" s="4"/>
      <c r="H212" s="4">
        <v>0</v>
      </c>
      <c r="J212" s="4">
        <f>F212+H212</f>
        <v>290382</v>
      </c>
    </row>
    <row r="213" spans="1:10" x14ac:dyDescent="0.3">
      <c r="A213" s="1" t="s">
        <v>40</v>
      </c>
      <c r="B213" s="6">
        <v>107295</v>
      </c>
      <c r="C213" s="4"/>
      <c r="D213" s="6">
        <v>0</v>
      </c>
      <c r="E213" s="4"/>
      <c r="F213" s="6">
        <f>B213+D213</f>
        <v>107295</v>
      </c>
      <c r="G213" s="4"/>
      <c r="H213" s="6">
        <v>0</v>
      </c>
      <c r="J213" s="6">
        <f>F213+H213</f>
        <v>107295</v>
      </c>
    </row>
    <row r="214" spans="1:10" ht="13.5" thickBot="1" x14ac:dyDescent="0.35">
      <c r="A214" s="2"/>
      <c r="B214" s="7">
        <f>SUM(B211:B213)</f>
        <v>591856</v>
      </c>
      <c r="C214" s="4"/>
      <c r="D214" s="7">
        <f>SUM(D211:D213)</f>
        <v>0</v>
      </c>
      <c r="E214" s="4"/>
      <c r="F214" s="7">
        <f>SUM(F211:F213)</f>
        <v>591856</v>
      </c>
      <c r="G214" s="4"/>
      <c r="H214" s="7">
        <f>SUM(H211:H213)</f>
        <v>0</v>
      </c>
      <c r="J214" s="7">
        <f>SUM(J211:J213)</f>
        <v>591856</v>
      </c>
    </row>
    <row r="215" spans="1:10" ht="13.5" thickTop="1" x14ac:dyDescent="0.3">
      <c r="A215" s="2"/>
      <c r="B215" s="5"/>
      <c r="C215" s="4"/>
      <c r="D215" s="5"/>
      <c r="E215" s="4"/>
      <c r="F215" s="5"/>
      <c r="G215" s="4"/>
      <c r="H215" s="5"/>
      <c r="J215" s="5"/>
    </row>
    <row r="216" spans="1:10" x14ac:dyDescent="0.3">
      <c r="A216" s="1" t="s">
        <v>39</v>
      </c>
    </row>
    <row r="217" spans="1:10" x14ac:dyDescent="0.3">
      <c r="A217" s="1" t="s">
        <v>37</v>
      </c>
    </row>
    <row r="218" spans="1:10" x14ac:dyDescent="0.3">
      <c r="A218" s="1" t="s">
        <v>38</v>
      </c>
    </row>
  </sheetData>
  <pageMargins left="0.4" right="0.4" top="1" bottom="1" header="0.3" footer="0.3"/>
  <pageSetup scale="78" orientation="portrait" r:id="rId1"/>
  <rowBreaks count="1" manualBreakCount="1">
    <brk id="6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Sheet1!_hs_0df1e77537954e2cb9ae128180bc0cd6</vt:lpstr>
      <vt:lpstr>Sheet1!Print_Area</vt:lpstr>
      <vt:lpstr>Sheet1!Print_Titles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2024-10-16T18:42:40Z</cp:lastPrinted>
  <dcterms:created xsi:type="dcterms:W3CDTF">2024-10-15T20:46:06Z</dcterms:created>
  <dcterms:modified xsi:type="dcterms:W3CDTF">2025-12-08T23:20:51Z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2024-10-15T20:46:10Z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9326b5cf-8df4-4e9f-a868-789db72d3362</vt:lpwstr>
  </property>
  <property fmtid="{D5CDD505-2E9C-101B-9397-08002B2CF9AE}" pid="8" name="MSIP_Label_320df1db-9955-4087-a541-42c2f5a9332e_ContentBits">
    <vt:lpwstr>0</vt:lpwstr>
  </property>
</Properties>
</file>