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ppatura-XBRL\08. XPP\2025\12-December\House Style 1\EFP-20968_Leverage Shares Annual Report 10.31.25\1.Original\Edits_22_12_2025\Draft 1 EDITS riders\"/>
    </mc:Choice>
  </mc:AlternateContent>
  <xr:revisionPtr revIDLastSave="0" documentId="13_ncr:1_{48B2A65E-9474-4EC1-BB2D-72EF31ECE9CA}" xr6:coauthVersionLast="47" xr6:coauthVersionMax="47" xr10:uidLastSave="{00000000-0000-0000-0000-000000000000}"/>
  <bookViews>
    <workbookView xWindow="28680" yWindow="-120" windowWidth="29040" windowHeight="15720" activeTab="7" xr2:uid="{65B39F50-574A-444B-BFCE-7D8A7CF169E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5" l="1"/>
  <c r="B9" i="3" l="1"/>
  <c r="F9" i="3" l="1"/>
  <c r="E10" i="7"/>
  <c r="B23" i="8"/>
  <c r="B21" i="8"/>
  <c r="E27" i="7"/>
  <c r="F27" i="7"/>
  <c r="B27" i="7"/>
  <c r="C25" i="7"/>
  <c r="C27" i="7" s="1"/>
  <c r="D25" i="7"/>
  <c r="D27" i="7" s="1"/>
  <c r="E25" i="7"/>
  <c r="F25" i="7"/>
  <c r="B25" i="7"/>
  <c r="C19" i="7"/>
  <c r="D19" i="7"/>
  <c r="E19" i="7"/>
  <c r="F19" i="7"/>
  <c r="B19" i="7"/>
  <c r="C10" i="7"/>
  <c r="D10" i="7"/>
  <c r="F10" i="7"/>
  <c r="B10" i="7"/>
  <c r="C23" i="6"/>
  <c r="C25" i="6" s="1"/>
  <c r="D23" i="6"/>
  <c r="D25" i="6" s="1"/>
  <c r="E23" i="6"/>
  <c r="E25" i="6" s="1"/>
  <c r="F23" i="6"/>
  <c r="F25" i="6" s="1"/>
  <c r="B23" i="6"/>
  <c r="B25" i="6" s="1"/>
  <c r="C17" i="6"/>
  <c r="D17" i="6"/>
  <c r="E17" i="6"/>
  <c r="F17" i="6"/>
  <c r="B17" i="6"/>
  <c r="B9" i="6"/>
  <c r="C27" i="5"/>
  <c r="C29" i="5" s="1"/>
  <c r="D27" i="5"/>
  <c r="D29" i="5" s="1"/>
  <c r="E27" i="5"/>
  <c r="E29" i="5" s="1"/>
  <c r="F27" i="5"/>
  <c r="F29" i="5" s="1"/>
  <c r="B27" i="5"/>
  <c r="B29" i="5" s="1"/>
  <c r="C21" i="5"/>
  <c r="D21" i="5"/>
  <c r="E21" i="5"/>
  <c r="B21" i="5"/>
  <c r="C11" i="5"/>
  <c r="D11" i="5"/>
  <c r="E11" i="5"/>
  <c r="F11" i="5"/>
  <c r="B11" i="5"/>
  <c r="C24" i="4"/>
  <c r="C26" i="4" s="1"/>
  <c r="D24" i="4"/>
  <c r="D26" i="4" s="1"/>
  <c r="E24" i="4"/>
  <c r="E26" i="4" s="1"/>
  <c r="F24" i="4"/>
  <c r="F26" i="4" s="1"/>
  <c r="B24" i="4"/>
  <c r="B26" i="4" s="1"/>
  <c r="C18" i="4"/>
  <c r="D18" i="4"/>
  <c r="E18" i="4"/>
  <c r="F18" i="4"/>
  <c r="B18" i="4"/>
  <c r="C10" i="4"/>
  <c r="D10" i="4"/>
  <c r="E10" i="4"/>
  <c r="F10" i="4"/>
  <c r="B10" i="4"/>
  <c r="C17" i="3"/>
  <c r="D17" i="3"/>
  <c r="E17" i="3"/>
  <c r="F17" i="3"/>
  <c r="B17" i="3"/>
  <c r="C23" i="3"/>
  <c r="C25" i="3" s="1"/>
  <c r="D23" i="3"/>
  <c r="D25" i="3" s="1"/>
  <c r="E23" i="3"/>
  <c r="E25" i="3" s="1"/>
  <c r="F23" i="3"/>
  <c r="F25" i="3" s="1"/>
  <c r="C9" i="3"/>
  <c r="D9" i="3"/>
  <c r="E9" i="3"/>
  <c r="C26" i="2"/>
  <c r="D26" i="2"/>
  <c r="E26" i="2"/>
  <c r="F26" i="2"/>
  <c r="B26" i="2"/>
  <c r="F24" i="2"/>
  <c r="E24" i="2"/>
  <c r="D24" i="2"/>
  <c r="C24" i="2"/>
  <c r="B24" i="2"/>
  <c r="C18" i="2"/>
  <c r="D18" i="2"/>
  <c r="E18" i="2"/>
  <c r="F18" i="2"/>
  <c r="B18" i="2"/>
  <c r="E18" i="3" l="1"/>
  <c r="D18" i="3"/>
  <c r="F18" i="3"/>
  <c r="C18" i="3"/>
  <c r="F20" i="7"/>
  <c r="E20" i="7"/>
  <c r="D20" i="7"/>
  <c r="C20" i="7"/>
  <c r="B18" i="6"/>
  <c r="F22" i="5"/>
  <c r="E22" i="5"/>
  <c r="C22" i="5"/>
  <c r="D22" i="5"/>
  <c r="F19" i="4"/>
  <c r="E19" i="4"/>
  <c r="D19" i="4"/>
  <c r="C19" i="4"/>
  <c r="B23" i="3"/>
  <c r="B25" i="3" s="1"/>
  <c r="B15" i="8"/>
  <c r="B8" i="8"/>
  <c r="F9" i="6"/>
  <c r="F18" i="6" s="1"/>
  <c r="E9" i="6"/>
  <c r="E18" i="6" s="1"/>
  <c r="D9" i="6"/>
  <c r="D18" i="6" s="1"/>
  <c r="C9" i="6"/>
  <c r="C18" i="6" s="1"/>
  <c r="F10" i="2"/>
  <c r="F19" i="2" s="1"/>
  <c r="E10" i="2"/>
  <c r="E19" i="2" s="1"/>
  <c r="D10" i="2"/>
  <c r="D19" i="2" s="1"/>
  <c r="C10" i="2"/>
  <c r="C19" i="2" s="1"/>
  <c r="B10" i="2"/>
  <c r="B19" i="2" s="1"/>
  <c r="F13" i="1"/>
  <c r="E13" i="1"/>
  <c r="D13" i="1"/>
  <c r="C13" i="1"/>
  <c r="C14" i="1" s="1"/>
  <c r="B13" i="1"/>
  <c r="F6" i="1"/>
  <c r="E6" i="1"/>
  <c r="D6" i="1"/>
  <c r="C6" i="1"/>
  <c r="B6" i="1"/>
  <c r="E14" i="1" l="1"/>
  <c r="F14" i="1"/>
  <c r="B14" i="1"/>
  <c r="D14" i="1"/>
  <c r="B16" i="8"/>
  <c r="B20" i="7"/>
  <c r="B22" i="5"/>
  <c r="B19" i="4"/>
  <c r="B18" i="3"/>
</calcChain>
</file>

<file path=xl/sharedStrings.xml><?xml version="1.0" encoding="utf-8"?>
<sst xmlns="http://schemas.openxmlformats.org/spreadsheetml/2006/main" count="349" uniqueCount="74">
  <si>
    <t>ASSETS:</t>
  </si>
  <si>
    <t>Investments, at value</t>
  </si>
  <si>
    <t>Receivable for investments sold</t>
  </si>
  <si>
    <t>–</t>
  </si>
  <si>
    <t>Dividends receivable</t>
  </si>
  <si>
    <t>Cash</t>
  </si>
  <si>
    <t>Total assets</t>
  </si>
  <si>
    <t>LIABILITIES:</t>
  </si>
  <si>
    <t>Written option contracts, at value</t>
  </si>
  <si>
    <t>Payable for investments purchased</t>
  </si>
  <si>
    <t>Payable to adviser</t>
  </si>
  <si>
    <t>Due to broker</t>
  </si>
  <si>
    <t>Total liabilities</t>
  </si>
  <si>
    <t>NET ASSETS</t>
  </si>
  <si>
    <t>NET ASSETS CONSISTS OF:</t>
  </si>
  <si>
    <t>Paid-in capital</t>
  </si>
  <si>
    <t>Total distributable earnings/(accumulated losses)</t>
  </si>
  <si>
    <t>Total net assets</t>
  </si>
  <si>
    <t>Net assets</t>
  </si>
  <si>
    <t>Net asset value per share</t>
  </si>
  <si>
    <t>COST:</t>
  </si>
  <si>
    <t>Investments, at cost</t>
  </si>
  <si>
    <t>PROCEEDS:</t>
  </si>
  <si>
    <t>Written options premium received</t>
  </si>
  <si>
    <t>Leverage Shares 2X Long AAL Daily ETF</t>
  </si>
  <si>
    <t>Leverage Shares 2X Long ADBE Daily ETF</t>
  </si>
  <si>
    <t>Leverage Shares 2X Long AMD Daily ETF</t>
  </si>
  <si>
    <t>Leverage Shares 2X Long ARM Daily ETF</t>
  </si>
  <si>
    <t>Leverage Shares 2X Long ASML Daily ETF</t>
  </si>
  <si>
    <t>Unrealized appreciation on swap contracts</t>
  </si>
  <si>
    <t>Receivable for swap contracts</t>
  </si>
  <si>
    <t>Unrealized depreciation on swap contracts</t>
  </si>
  <si>
    <t>Payable for capital shares redeemed</t>
  </si>
  <si>
    <t>Payable for swap contracts</t>
  </si>
  <si>
    <t>Leverage Shares 2X Long AVGO Daily ETF</t>
  </si>
  <si>
    <t>Leverage Shares 2X Long BA Daily ETF</t>
  </si>
  <si>
    <t>Leverage Shares 2X Long COIN Daily ETF</t>
  </si>
  <si>
    <t>Leverage Shares 2X Long CRM Daily ETF</t>
  </si>
  <si>
    <t>Leverage Shares 2X Long HOOD Daily ETF</t>
  </si>
  <si>
    <t>Leverage Shares 2X Long NVDA Daily ETF</t>
  </si>
  <si>
    <t>Leverage Shares 2X Long PANW Daily ETF</t>
  </si>
  <si>
    <t>Leverage Shares 2X Long PLTR Daily ETF</t>
  </si>
  <si>
    <t>Leverage Shares 2X Long PYPL Daily ETF</t>
  </si>
  <si>
    <t>Leverage Shares 2X Long RTX Daily ETF</t>
  </si>
  <si>
    <t>Leverage Shares 2X Long TSLA Daily ETF</t>
  </si>
  <si>
    <t>Leverage Shares 2X Long TSM Daily ETF</t>
  </si>
  <si>
    <t>Leverage Shares 2X Long UNH Daily ETF</t>
  </si>
  <si>
    <t>Leverage Shares 2X Long XYZ Daily ETF</t>
  </si>
  <si>
    <t>Total distributable earnings</t>
  </si>
  <si>
    <r>
      <t>Shares issued and outstanding</t>
    </r>
    <r>
      <rPr>
        <vertAlign val="superscript"/>
        <sz val="10"/>
        <color rgb="FF000000"/>
        <rFont val="Times New Roman"/>
        <family val="1"/>
      </rPr>
      <t>(a)</t>
    </r>
  </si>
  <si>
    <t>Leverage Shares 2X Capped Accelerated COIN Monthly ETF</t>
  </si>
  <si>
    <t>Leverage Shares 2X Capped Accelerated MSTR Monthly ETF</t>
  </si>
  <si>
    <t>Leverage Shares 2X Capped Accelerated NVDA Monthly ETF</t>
  </si>
  <si>
    <t>Leverage Shares 2X Capped Accelerated PLTR Monthly ETF</t>
  </si>
  <si>
    <t>Leverage Shares 2X Capped Accelerated TSLA Monthly ETF</t>
  </si>
  <si>
    <t>Leverage Shares 2X Long BBAI Daily ETF</t>
  </si>
  <si>
    <t>Leverage Shares 2X Long BLSH Daily ETF</t>
  </si>
  <si>
    <t>Leverage Shares 2X Long BMNR Daily ETF</t>
  </si>
  <si>
    <t>Leverage Shares 2X Long BULL Daily ETF</t>
  </si>
  <si>
    <t>Leverage Shares 2X Long COST Daily ETF</t>
  </si>
  <si>
    <t>Leverage Shares 2X Long CRCL Daily ETF</t>
  </si>
  <si>
    <t>Leverage Shares 2X Long CRWV Daily ETF</t>
  </si>
  <si>
    <t>Leverage Shares 2X Long FIG Daily ETF</t>
  </si>
  <si>
    <t>Leverage Shares 2X Long FUTU Daily ETF</t>
  </si>
  <si>
    <t>Leverage Shares 2X Long GLXY Daily ETF</t>
  </si>
  <si>
    <t>Leverage Shares 2X Long MP Daily ETF</t>
  </si>
  <si>
    <t>Leverage Shares 2X Long NBIS Daily ETF</t>
  </si>
  <si>
    <t>(a) Unlimited shares authorized.</t>
  </si>
  <si>
    <t>Receivable for capital shares sold</t>
  </si>
  <si>
    <t>Interest payable</t>
  </si>
  <si>
    <t>Interest receivable</t>
  </si>
  <si>
    <t xml:space="preserve">Interest payable </t>
  </si>
  <si>
    <t>Segregated cash for swap contracts</t>
  </si>
  <si>
    <t>Payable for collateral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</si>
</sst>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  <font>
      <sz val="10"/>
      <color rgb="FFFFFFFF"/>
      <name val="Times New Roman"/>
      <family val="1"/>
    </font>
    <font>
      <vertAlign val="superscript"/>
      <sz val="10"/>
      <color rgb="FF000000"/>
      <name val="Times New Roman"/>
      <family val="1"/>
    </font>
    <font>
      <sz val="10"/>
      <color theme="1"/>
      <name val="Calibri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 inden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vertical="center"/>
    </xf>
    <xf numFmtId="3" fontId="7" fillId="0" borderId="4" xfId="0" applyNumberFormat="1" applyFont="1" applyBorder="1" applyAlignment="1">
      <alignment horizontal="right" vertical="center" wrapText="1"/>
    </xf>
    <xf numFmtId="41" fontId="3" fillId="0" borderId="0" xfId="0" applyNumberFormat="1" applyFont="1"/>
    <xf numFmtId="3" fontId="3" fillId="0" borderId="0" xfId="0" applyNumberFormat="1" applyFont="1"/>
    <xf numFmtId="37" fontId="1" fillId="0" borderId="0" xfId="0" applyNumberFormat="1" applyFont="1" applyAlignment="1">
      <alignment horizontal="right" vertical="center" wrapText="1"/>
    </xf>
    <xf numFmtId="0" fontId="8" fillId="0" borderId="0" xfId="0" applyFont="1"/>
    <xf numFmtId="2" fontId="1" fillId="0" borderId="0" xfId="0" applyNumberFormat="1" applyFont="1" applyAlignment="1">
      <alignment horizontal="right" vertical="center" wrapText="1"/>
    </xf>
    <xf numFmtId="2" fontId="1" fillId="0" borderId="0" xfId="0" quotePrefix="1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164" fontId="1" fillId="0" borderId="0" xfId="1" applyNumberFormat="1" applyFont="1" applyFill="1" applyAlignment="1">
      <alignment horizontal="right" vertical="center" wrapText="1"/>
    </xf>
    <xf numFmtId="43" fontId="1" fillId="0" borderId="0" xfId="1" applyFont="1" applyFill="1" applyAlignment="1">
      <alignment horizontal="right" vertical="center" wrapText="1"/>
    </xf>
    <xf numFmtId="164" fontId="1" fillId="0" borderId="0" xfId="1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9649-FCEC-4F58-A1A7-35A7EC9CD856}">
  <dimension ref="A1:F31"/>
  <sheetViews>
    <sheetView zoomScale="80" zoomScaleNormal="80" workbookViewId="0">
      <selection activeCell="I15" sqref="I15"/>
    </sheetView>
  </sheetViews>
  <sheetFormatPr defaultColWidth="8.7109375" defaultRowHeight="15.95" customHeight="1" x14ac:dyDescent="0.25"/>
  <cols>
    <col min="1" max="1" width="36.85546875" style="3" bestFit="1" customWidth="1"/>
    <col min="2" max="6" width="30.5703125" style="3" customWidth="1"/>
    <col min="7" max="16384" width="8.7109375" style="3"/>
  </cols>
  <sheetData>
    <row r="1" spans="1:6" ht="38.450000000000003" customHeight="1" x14ac:dyDescent="0.25">
      <c r="A1" s="1"/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</row>
    <row r="2" spans="1:6" ht="15.95" customHeight="1" x14ac:dyDescent="0.25">
      <c r="A2" s="2" t="s">
        <v>0</v>
      </c>
      <c r="B2" s="27"/>
      <c r="C2" s="27"/>
      <c r="D2" s="27"/>
      <c r="E2" s="27"/>
      <c r="F2" s="4"/>
    </row>
    <row r="3" spans="1:6" ht="15.95" customHeight="1" x14ac:dyDescent="0.25">
      <c r="A3" s="5" t="s">
        <v>1</v>
      </c>
      <c r="B3" s="6">
        <v>1109354</v>
      </c>
      <c r="C3" s="6">
        <v>641076</v>
      </c>
      <c r="D3" s="6">
        <v>1809560</v>
      </c>
      <c r="E3" s="6">
        <v>1276782</v>
      </c>
      <c r="F3" s="6">
        <v>1584570</v>
      </c>
    </row>
    <row r="4" spans="1:6" ht="15.95" customHeight="1" x14ac:dyDescent="0.25">
      <c r="A4" s="5" t="s">
        <v>2</v>
      </c>
      <c r="B4" s="6">
        <v>202101</v>
      </c>
      <c r="C4" s="6">
        <v>146166</v>
      </c>
      <c r="D4" s="6">
        <v>467474</v>
      </c>
      <c r="E4" s="6">
        <v>371244</v>
      </c>
      <c r="F4" s="6">
        <v>284558</v>
      </c>
    </row>
    <row r="5" spans="1:6" ht="15.95" customHeight="1" thickBot="1" x14ac:dyDescent="0.3">
      <c r="A5" s="5" t="s">
        <v>4</v>
      </c>
      <c r="B5" s="7">
        <v>9</v>
      </c>
      <c r="C5" s="7">
        <v>8</v>
      </c>
      <c r="D5" s="7">
        <v>7</v>
      </c>
      <c r="E5" s="7">
        <v>6</v>
      </c>
      <c r="F5" s="7">
        <v>4</v>
      </c>
    </row>
    <row r="6" spans="1:6" ht="15.95" customHeight="1" thickBot="1" x14ac:dyDescent="0.3">
      <c r="A6" s="1" t="s">
        <v>6</v>
      </c>
      <c r="B6" s="8">
        <f>SUM(B3:B5)</f>
        <v>1311464</v>
      </c>
      <c r="C6" s="8">
        <f>SUM(C3:C5)</f>
        <v>787250</v>
      </c>
      <c r="D6" s="8">
        <f>SUM(D3:D5)</f>
        <v>2277041</v>
      </c>
      <c r="E6" s="8">
        <f>SUM(E3:E5)</f>
        <v>1648032</v>
      </c>
      <c r="F6" s="8">
        <f>SUM(F3:F5)</f>
        <v>1869132</v>
      </c>
    </row>
    <row r="7" spans="1:6" ht="15.95" customHeight="1" x14ac:dyDescent="0.25">
      <c r="A7" s="1"/>
      <c r="B7" s="29"/>
      <c r="C7" s="29"/>
      <c r="D7" s="29"/>
      <c r="E7" s="29"/>
      <c r="F7" s="9"/>
    </row>
    <row r="8" spans="1:6" ht="15.95" customHeight="1" x14ac:dyDescent="0.25">
      <c r="A8" s="2" t="s">
        <v>7</v>
      </c>
      <c r="B8" s="27"/>
      <c r="C8" s="27"/>
      <c r="D8" s="27"/>
      <c r="E8" s="27"/>
      <c r="F8" s="4"/>
    </row>
    <row r="9" spans="1:6" ht="15.95" customHeight="1" x14ac:dyDescent="0.25">
      <c r="A9" s="5" t="s">
        <v>8</v>
      </c>
      <c r="B9" s="6">
        <v>125685</v>
      </c>
      <c r="C9" s="6">
        <v>65352</v>
      </c>
      <c r="D9" s="6">
        <v>147108</v>
      </c>
      <c r="E9" s="6">
        <v>136512</v>
      </c>
      <c r="F9" s="6">
        <v>146970</v>
      </c>
    </row>
    <row r="10" spans="1:6" ht="15.95" customHeight="1" x14ac:dyDescent="0.25">
      <c r="A10" s="5" t="s">
        <v>9</v>
      </c>
      <c r="B10" s="6">
        <v>282265</v>
      </c>
      <c r="C10" s="6">
        <v>166988</v>
      </c>
      <c r="D10" s="6">
        <v>541247</v>
      </c>
      <c r="E10" s="6">
        <v>421130</v>
      </c>
      <c r="F10" s="6">
        <v>325667</v>
      </c>
    </row>
    <row r="11" spans="1:6" ht="15.95" customHeight="1" x14ac:dyDescent="0.25">
      <c r="A11" s="5" t="s">
        <v>11</v>
      </c>
      <c r="B11" s="7">
        <v>12</v>
      </c>
      <c r="C11" s="6">
        <v>19</v>
      </c>
      <c r="D11" s="7">
        <v>22</v>
      </c>
      <c r="E11" s="7">
        <v>42</v>
      </c>
      <c r="F11" s="7">
        <v>6</v>
      </c>
    </row>
    <row r="12" spans="1:6" ht="15.95" customHeight="1" thickBot="1" x14ac:dyDescent="0.3">
      <c r="A12" s="5" t="s">
        <v>10</v>
      </c>
      <c r="B12" s="7">
        <v>578</v>
      </c>
      <c r="C12" s="7">
        <v>401</v>
      </c>
      <c r="D12" s="7">
        <v>927</v>
      </c>
      <c r="E12" s="7">
        <v>613</v>
      </c>
      <c r="F12" s="7">
        <v>845</v>
      </c>
    </row>
    <row r="13" spans="1:6" ht="15.95" customHeight="1" thickBot="1" x14ac:dyDescent="0.3">
      <c r="A13" s="1" t="s">
        <v>12</v>
      </c>
      <c r="B13" s="10">
        <f>SUM(B9:B12)</f>
        <v>408540</v>
      </c>
      <c r="C13" s="10">
        <f>SUM(C9:C12)</f>
        <v>232760</v>
      </c>
      <c r="D13" s="10">
        <f>SUM(D9:D12)</f>
        <v>689304</v>
      </c>
      <c r="E13" s="10">
        <f>SUM(E9:E12)</f>
        <v>558297</v>
      </c>
      <c r="F13" s="10">
        <f>SUM(F9:F12)</f>
        <v>473488</v>
      </c>
    </row>
    <row r="14" spans="1:6" ht="15.95" customHeight="1" thickBot="1" x14ac:dyDescent="0.3">
      <c r="A14" s="2" t="s">
        <v>13</v>
      </c>
      <c r="B14" s="11">
        <f>B6-B13</f>
        <v>902924</v>
      </c>
      <c r="C14" s="11">
        <f>C6-C13</f>
        <v>554490</v>
      </c>
      <c r="D14" s="11">
        <f>D6-D13</f>
        <v>1587737</v>
      </c>
      <c r="E14" s="11">
        <f>E6-E13</f>
        <v>1089735</v>
      </c>
      <c r="F14" s="11">
        <f>F6-F13</f>
        <v>1395644</v>
      </c>
    </row>
    <row r="15" spans="1:6" ht="15.95" customHeight="1" thickTop="1" x14ac:dyDescent="0.25">
      <c r="A15" s="1"/>
      <c r="B15" s="15"/>
      <c r="C15" s="15"/>
      <c r="D15" s="15"/>
      <c r="E15" s="15"/>
      <c r="F15" s="15"/>
    </row>
    <row r="16" spans="1:6" ht="15.95" customHeight="1" x14ac:dyDescent="0.25">
      <c r="A16" s="2" t="s">
        <v>14</v>
      </c>
      <c r="B16" s="27"/>
      <c r="C16" s="27"/>
      <c r="D16" s="27"/>
      <c r="E16" s="27"/>
      <c r="F16" s="4"/>
    </row>
    <row r="17" spans="1:6" ht="15.95" customHeight="1" x14ac:dyDescent="0.25">
      <c r="A17" s="1" t="s">
        <v>15</v>
      </c>
      <c r="B17" s="6">
        <v>784139</v>
      </c>
      <c r="C17" s="6">
        <v>750794</v>
      </c>
      <c r="D17" s="6">
        <v>1375753</v>
      </c>
      <c r="E17" s="6">
        <v>904149</v>
      </c>
      <c r="F17" s="6">
        <v>1163142</v>
      </c>
    </row>
    <row r="18" spans="1:6" ht="15.95" customHeight="1" thickBot="1" x14ac:dyDescent="0.3">
      <c r="A18" s="1" t="s">
        <v>16</v>
      </c>
      <c r="B18" s="6">
        <v>118785</v>
      </c>
      <c r="C18" s="18">
        <v>-196304</v>
      </c>
      <c r="D18" s="6">
        <v>211984</v>
      </c>
      <c r="E18" s="6">
        <v>185586</v>
      </c>
      <c r="F18" s="6">
        <v>232502</v>
      </c>
    </row>
    <row r="19" spans="1:6" ht="15.95" customHeight="1" thickBot="1" x14ac:dyDescent="0.3">
      <c r="A19" s="2" t="s">
        <v>17</v>
      </c>
      <c r="B19" s="11">
        <v>902924</v>
      </c>
      <c r="C19" s="11">
        <v>554490</v>
      </c>
      <c r="D19" s="11">
        <v>1587737</v>
      </c>
      <c r="E19" s="11">
        <v>1089735</v>
      </c>
      <c r="F19" s="11">
        <v>1395644</v>
      </c>
    </row>
    <row r="20" spans="1:6" ht="15.95" customHeight="1" thickTop="1" x14ac:dyDescent="0.25">
      <c r="A20" s="1"/>
      <c r="B20" s="28"/>
      <c r="C20" s="28"/>
      <c r="D20" s="28"/>
      <c r="E20" s="28"/>
      <c r="F20" s="12"/>
    </row>
    <row r="21" spans="1:6" ht="15.95" customHeight="1" x14ac:dyDescent="0.25">
      <c r="A21" s="1" t="s">
        <v>18</v>
      </c>
      <c r="B21" s="6">
        <v>902924</v>
      </c>
      <c r="C21" s="6">
        <v>554490</v>
      </c>
      <c r="D21" s="6">
        <v>1587737</v>
      </c>
      <c r="E21" s="6">
        <v>1089735</v>
      </c>
      <c r="F21" s="6">
        <v>1395644</v>
      </c>
    </row>
    <row r="22" spans="1:6" ht="15.95" customHeight="1" x14ac:dyDescent="0.25">
      <c r="A22" s="1" t="s">
        <v>49</v>
      </c>
      <c r="B22" s="6">
        <v>40000</v>
      </c>
      <c r="C22" s="6">
        <v>40000</v>
      </c>
      <c r="D22" s="6">
        <v>70000</v>
      </c>
      <c r="E22" s="6">
        <v>50000</v>
      </c>
      <c r="F22" s="6">
        <v>60000</v>
      </c>
    </row>
    <row r="23" spans="1:6" ht="15.95" customHeight="1" x14ac:dyDescent="0.25">
      <c r="A23" s="1" t="s">
        <v>19</v>
      </c>
      <c r="B23" s="7">
        <v>22.57</v>
      </c>
      <c r="C23" s="7">
        <v>13.86</v>
      </c>
      <c r="D23" s="7">
        <v>22.68</v>
      </c>
      <c r="E23" s="7">
        <v>21.79</v>
      </c>
      <c r="F23" s="7">
        <v>23.26</v>
      </c>
    </row>
    <row r="24" spans="1:6" ht="15.95" customHeight="1" x14ac:dyDescent="0.25">
      <c r="A24" s="1"/>
      <c r="B24" s="27"/>
      <c r="C24" s="27"/>
      <c r="D24" s="27"/>
      <c r="E24" s="27"/>
      <c r="F24" s="4"/>
    </row>
    <row r="25" spans="1:6" ht="15.95" customHeight="1" x14ac:dyDescent="0.25">
      <c r="A25" s="2" t="s">
        <v>20</v>
      </c>
      <c r="B25" s="27"/>
      <c r="C25" s="27"/>
      <c r="D25" s="27"/>
      <c r="E25" s="27"/>
      <c r="F25" s="4"/>
    </row>
    <row r="26" spans="1:6" ht="15.95" customHeight="1" x14ac:dyDescent="0.25">
      <c r="A26" s="1" t="s">
        <v>21</v>
      </c>
      <c r="B26" s="6">
        <v>1109218</v>
      </c>
      <c r="C26" s="6">
        <v>640970</v>
      </c>
      <c r="D26" s="6">
        <v>1809432</v>
      </c>
      <c r="E26" s="6">
        <v>1276702</v>
      </c>
      <c r="F26" s="6">
        <v>1584315</v>
      </c>
    </row>
    <row r="27" spans="1:6" ht="15.95" customHeight="1" x14ac:dyDescent="0.25">
      <c r="A27" s="1"/>
      <c r="B27" s="26"/>
      <c r="C27" s="26"/>
      <c r="D27" s="26"/>
      <c r="E27" s="26"/>
      <c r="F27" s="13"/>
    </row>
    <row r="28" spans="1:6" ht="15.95" customHeight="1" x14ac:dyDescent="0.25">
      <c r="A28" s="2" t="s">
        <v>22</v>
      </c>
      <c r="B28" s="26"/>
      <c r="C28" s="26"/>
      <c r="D28" s="26"/>
      <c r="E28" s="26"/>
      <c r="F28" s="13"/>
    </row>
    <row r="29" spans="1:6" ht="15.95" customHeight="1" x14ac:dyDescent="0.25">
      <c r="A29" s="1" t="s">
        <v>23</v>
      </c>
      <c r="B29" s="6">
        <v>125560</v>
      </c>
      <c r="C29" s="6">
        <v>65254</v>
      </c>
      <c r="D29" s="6">
        <v>146746</v>
      </c>
      <c r="E29" s="6">
        <v>136261</v>
      </c>
      <c r="F29" s="6">
        <v>146831</v>
      </c>
    </row>
    <row r="31" spans="1:6" ht="15.95" customHeight="1" x14ac:dyDescent="0.25">
      <c r="A31" s="19" t="s">
        <v>67</v>
      </c>
    </row>
  </sheetData>
  <mergeCells count="36">
    <mergeCell ref="B2"/>
    <mergeCell ref="C2"/>
    <mergeCell ref="D2"/>
    <mergeCell ref="E2"/>
    <mergeCell ref="B16"/>
    <mergeCell ref="C16"/>
    <mergeCell ref="D16"/>
    <mergeCell ref="E16"/>
    <mergeCell ref="B7"/>
    <mergeCell ref="C7"/>
    <mergeCell ref="D7"/>
    <mergeCell ref="E7"/>
    <mergeCell ref="B8"/>
    <mergeCell ref="C8"/>
    <mergeCell ref="D8"/>
    <mergeCell ref="E8"/>
    <mergeCell ref="B20"/>
    <mergeCell ref="C20"/>
    <mergeCell ref="D20"/>
    <mergeCell ref="E20"/>
    <mergeCell ref="B24"/>
    <mergeCell ref="C24"/>
    <mergeCell ref="D24"/>
    <mergeCell ref="E24"/>
    <mergeCell ref="B28"/>
    <mergeCell ref="C28"/>
    <mergeCell ref="D28"/>
    <mergeCell ref="E28"/>
    <mergeCell ref="B25"/>
    <mergeCell ref="C25"/>
    <mergeCell ref="D25"/>
    <mergeCell ref="E25"/>
    <mergeCell ref="B27"/>
    <mergeCell ref="C27"/>
    <mergeCell ref="D27"/>
    <mergeCell ref="E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570A-B463-4EBD-8633-2BBFF92B8F0C}">
  <dimension ref="A1:F34"/>
  <sheetViews>
    <sheetView zoomScale="80" zoomScaleNormal="80" workbookViewId="0">
      <selection activeCell="F1" sqref="F1"/>
    </sheetView>
  </sheetViews>
  <sheetFormatPr defaultColWidth="8.7109375" defaultRowHeight="15.95" customHeight="1" x14ac:dyDescent="0.25"/>
  <cols>
    <col min="1" max="1" width="36.85546875" style="3" bestFit="1" customWidth="1"/>
    <col min="2" max="6" width="30.5703125" style="3" customWidth="1"/>
    <col min="7" max="16384" width="8.7109375" style="3"/>
  </cols>
  <sheetData>
    <row r="1" spans="1:6" ht="38.450000000000003" customHeight="1" x14ac:dyDescent="0.25">
      <c r="A1" s="1"/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 spans="1:6" ht="15.95" customHeight="1" x14ac:dyDescent="0.25">
      <c r="A2" s="2" t="s">
        <v>0</v>
      </c>
      <c r="B2" s="27"/>
      <c r="C2" s="27"/>
      <c r="D2" s="27"/>
      <c r="E2" s="27"/>
      <c r="F2" s="27"/>
    </row>
    <row r="3" spans="1:6" ht="15.95" customHeight="1" x14ac:dyDescent="0.25">
      <c r="A3" s="5" t="s">
        <v>1</v>
      </c>
      <c r="B3" s="7" t="s">
        <v>3</v>
      </c>
      <c r="C3" s="6">
        <v>3543467</v>
      </c>
      <c r="D3" s="6">
        <v>4517303</v>
      </c>
      <c r="E3" s="6">
        <v>1852045</v>
      </c>
      <c r="F3" s="6">
        <v>1453727</v>
      </c>
    </row>
    <row r="4" spans="1:6" ht="15.95" customHeight="1" x14ac:dyDescent="0.25">
      <c r="A4" s="5" t="s">
        <v>5</v>
      </c>
      <c r="B4" s="6">
        <v>46437</v>
      </c>
      <c r="C4" s="7" t="s">
        <v>3</v>
      </c>
      <c r="D4" s="7" t="s">
        <v>3</v>
      </c>
      <c r="E4" s="7" t="s">
        <v>3</v>
      </c>
      <c r="F4" s="7" t="s">
        <v>3</v>
      </c>
    </row>
    <row r="5" spans="1:6" ht="15.95" customHeight="1" x14ac:dyDescent="0.25">
      <c r="A5" s="5" t="s">
        <v>72</v>
      </c>
      <c r="B5" s="6">
        <v>672637</v>
      </c>
      <c r="C5" s="6">
        <v>28455681</v>
      </c>
      <c r="D5" s="6">
        <v>18177450</v>
      </c>
      <c r="E5" s="6">
        <v>15958942</v>
      </c>
      <c r="F5" s="6">
        <v>9408815</v>
      </c>
    </row>
    <row r="6" spans="1:6" ht="15.95" customHeight="1" x14ac:dyDescent="0.25">
      <c r="A6" s="5" t="s">
        <v>29</v>
      </c>
      <c r="B6" s="22">
        <v>189360</v>
      </c>
      <c r="C6" s="22">
        <v>342699</v>
      </c>
      <c r="D6" s="22">
        <v>5816767</v>
      </c>
      <c r="E6" s="22">
        <v>2301107</v>
      </c>
      <c r="F6" s="22">
        <v>2674607</v>
      </c>
    </row>
    <row r="7" spans="1:6" ht="15.95" customHeight="1" x14ac:dyDescent="0.25">
      <c r="A7" s="5" t="s">
        <v>68</v>
      </c>
      <c r="B7" s="7" t="s">
        <v>3</v>
      </c>
      <c r="C7" s="6">
        <v>547503</v>
      </c>
      <c r="D7" s="7" t="s">
        <v>3</v>
      </c>
      <c r="E7" s="7" t="s">
        <v>3</v>
      </c>
      <c r="F7" s="7" t="s">
        <v>3</v>
      </c>
    </row>
    <row r="8" spans="1:6" ht="15.95" customHeight="1" x14ac:dyDescent="0.25">
      <c r="A8" s="5" t="s">
        <v>30</v>
      </c>
      <c r="B8" s="7" t="s">
        <v>3</v>
      </c>
      <c r="C8" s="23">
        <v>2377</v>
      </c>
      <c r="D8" s="23">
        <v>162543</v>
      </c>
      <c r="E8" s="23">
        <v>885</v>
      </c>
      <c r="F8" s="23">
        <v>394588</v>
      </c>
    </row>
    <row r="9" spans="1:6" ht="15.95" customHeight="1" thickBot="1" x14ac:dyDescent="0.3">
      <c r="A9" s="5" t="s">
        <v>4</v>
      </c>
      <c r="B9" s="7">
        <v>615</v>
      </c>
      <c r="C9" s="6">
        <v>9957</v>
      </c>
      <c r="D9" s="6">
        <v>12048</v>
      </c>
      <c r="E9" s="6">
        <v>7366</v>
      </c>
      <c r="F9" s="6">
        <v>5069</v>
      </c>
    </row>
    <row r="10" spans="1:6" ht="15.95" customHeight="1" thickBot="1" x14ac:dyDescent="0.3">
      <c r="A10" s="1" t="s">
        <v>6</v>
      </c>
      <c r="B10" s="8">
        <f>SUM(B3:B9)</f>
        <v>909049</v>
      </c>
      <c r="C10" s="8">
        <f>SUM(C3:C9)</f>
        <v>32901684</v>
      </c>
      <c r="D10" s="8">
        <f>SUM(D3:D9)</f>
        <v>28686111</v>
      </c>
      <c r="E10" s="8">
        <f>SUM(E3:E9)</f>
        <v>20120345</v>
      </c>
      <c r="F10" s="8">
        <f>SUM(F3:F9)</f>
        <v>13936806</v>
      </c>
    </row>
    <row r="11" spans="1:6" ht="15.95" customHeight="1" x14ac:dyDescent="0.25">
      <c r="A11" s="1"/>
      <c r="B11" s="29"/>
      <c r="C11" s="29"/>
      <c r="D11" s="29"/>
      <c r="E11" s="29"/>
      <c r="F11" s="29"/>
    </row>
    <row r="12" spans="1:6" ht="15.95" customHeight="1" x14ac:dyDescent="0.25">
      <c r="A12" s="2" t="s">
        <v>7</v>
      </c>
      <c r="B12" s="27"/>
      <c r="C12" s="27"/>
      <c r="D12" s="27"/>
      <c r="E12" s="27"/>
      <c r="F12" s="27"/>
    </row>
    <row r="13" spans="1:6" ht="15.95" customHeight="1" x14ac:dyDescent="0.25">
      <c r="A13" s="5" t="s">
        <v>31</v>
      </c>
      <c r="B13" s="22">
        <v>0</v>
      </c>
      <c r="C13" s="22">
        <v>551444</v>
      </c>
      <c r="D13" s="22">
        <v>0</v>
      </c>
      <c r="E13" s="22">
        <v>499256</v>
      </c>
      <c r="F13" s="22">
        <v>241110</v>
      </c>
    </row>
    <row r="14" spans="1:6" ht="15.95" customHeight="1" x14ac:dyDescent="0.25">
      <c r="A14" s="5" t="s">
        <v>32</v>
      </c>
      <c r="B14" s="7" t="s">
        <v>3</v>
      </c>
      <c r="C14" s="7" t="s">
        <v>3</v>
      </c>
      <c r="D14" s="6">
        <v>1125795</v>
      </c>
      <c r="E14" s="7" t="s">
        <v>3</v>
      </c>
      <c r="F14" s="7" t="s">
        <v>3</v>
      </c>
    </row>
    <row r="15" spans="1:6" ht="15.95" customHeight="1" x14ac:dyDescent="0.25">
      <c r="A15" s="5" t="s">
        <v>33</v>
      </c>
      <c r="B15" s="6">
        <v>10467</v>
      </c>
      <c r="C15" s="6">
        <v>430446</v>
      </c>
      <c r="D15" s="6">
        <v>74254</v>
      </c>
      <c r="E15" s="6">
        <v>102209</v>
      </c>
      <c r="F15" s="6">
        <v>74981</v>
      </c>
    </row>
    <row r="16" spans="1:6" ht="15.95" customHeight="1" x14ac:dyDescent="0.25">
      <c r="A16" s="5" t="s">
        <v>10</v>
      </c>
      <c r="B16" s="7">
        <v>980</v>
      </c>
      <c r="C16" s="6">
        <v>16664</v>
      </c>
      <c r="D16" s="6">
        <v>15773</v>
      </c>
      <c r="E16" s="6">
        <v>11391</v>
      </c>
      <c r="F16" s="6">
        <v>11985</v>
      </c>
    </row>
    <row r="17" spans="1:6" ht="15.95" customHeight="1" thickBot="1" x14ac:dyDescent="0.3">
      <c r="A17" s="5" t="s">
        <v>69</v>
      </c>
      <c r="B17" s="7">
        <v>13</v>
      </c>
      <c r="C17" s="6">
        <v>192</v>
      </c>
      <c r="D17" s="7" t="s">
        <v>3</v>
      </c>
      <c r="E17" s="7">
        <v>292</v>
      </c>
      <c r="F17" s="6">
        <v>795</v>
      </c>
    </row>
    <row r="18" spans="1:6" ht="15.95" customHeight="1" thickBot="1" x14ac:dyDescent="0.3">
      <c r="A18" s="1" t="s">
        <v>12</v>
      </c>
      <c r="B18" s="10">
        <f>SUM(B13:B17)</f>
        <v>11460</v>
      </c>
      <c r="C18" s="10">
        <f t="shared" ref="C18:F18" si="0">SUM(C13:C17)</f>
        <v>998746</v>
      </c>
      <c r="D18" s="10">
        <f t="shared" si="0"/>
        <v>1215822</v>
      </c>
      <c r="E18" s="10">
        <f t="shared" si="0"/>
        <v>613148</v>
      </c>
      <c r="F18" s="10">
        <f t="shared" si="0"/>
        <v>328871</v>
      </c>
    </row>
    <row r="19" spans="1:6" ht="15.95" customHeight="1" thickBot="1" x14ac:dyDescent="0.3">
      <c r="A19" s="2" t="s">
        <v>13</v>
      </c>
      <c r="B19" s="11">
        <f>B10-B18</f>
        <v>897589</v>
      </c>
      <c r="C19" s="11">
        <f>C10-C18</f>
        <v>31902938</v>
      </c>
      <c r="D19" s="11">
        <f>D10-D18</f>
        <v>27470289</v>
      </c>
      <c r="E19" s="11">
        <f>E10-E18</f>
        <v>19507197</v>
      </c>
      <c r="F19" s="11">
        <f>F10-F18</f>
        <v>13607935</v>
      </c>
    </row>
    <row r="20" spans="1:6" ht="15.95" customHeight="1" thickTop="1" x14ac:dyDescent="0.25">
      <c r="A20" s="1"/>
      <c r="B20" s="30"/>
      <c r="C20" s="15"/>
      <c r="D20" s="15"/>
      <c r="E20" s="15"/>
      <c r="F20" s="15"/>
    </row>
    <row r="21" spans="1:6" ht="15.95" customHeight="1" x14ac:dyDescent="0.25">
      <c r="A21" s="2" t="s">
        <v>14</v>
      </c>
      <c r="B21" s="27"/>
      <c r="C21" s="27"/>
      <c r="D21" s="27"/>
      <c r="E21" s="27"/>
      <c r="F21" s="27"/>
    </row>
    <row r="22" spans="1:6" ht="15.95" customHeight="1" x14ac:dyDescent="0.25">
      <c r="A22" s="1" t="s">
        <v>15</v>
      </c>
      <c r="B22" s="6">
        <v>660778</v>
      </c>
      <c r="C22" s="6">
        <v>34351181</v>
      </c>
      <c r="D22" s="6">
        <v>10947695</v>
      </c>
      <c r="E22" s="6">
        <v>17192364</v>
      </c>
      <c r="F22" s="6">
        <v>2212242</v>
      </c>
    </row>
    <row r="23" spans="1:6" ht="15.95" customHeight="1" thickBot="1" x14ac:dyDescent="0.3">
      <c r="A23" s="1" t="s">
        <v>16</v>
      </c>
      <c r="B23" s="6">
        <v>236811</v>
      </c>
      <c r="C23" s="18">
        <v>-2448243</v>
      </c>
      <c r="D23" s="6">
        <v>16522594</v>
      </c>
      <c r="E23" s="6">
        <v>2314833</v>
      </c>
      <c r="F23" s="6">
        <v>11395693</v>
      </c>
    </row>
    <row r="24" spans="1:6" ht="15.95" customHeight="1" thickBot="1" x14ac:dyDescent="0.3">
      <c r="A24" s="1" t="s">
        <v>17</v>
      </c>
      <c r="B24" s="11">
        <f>SUM(B22:B23)</f>
        <v>897589</v>
      </c>
      <c r="C24" s="11">
        <f>SUM(C22:C23)</f>
        <v>31902938</v>
      </c>
      <c r="D24" s="11">
        <f>SUM(D22:D23)</f>
        <v>27470289</v>
      </c>
      <c r="E24" s="11">
        <f>SUM(E22:E23)</f>
        <v>19507197</v>
      </c>
      <c r="F24" s="11">
        <f>SUM(F22:F23)</f>
        <v>13607935</v>
      </c>
    </row>
    <row r="25" spans="1:6" ht="15.95" customHeight="1" thickTop="1" x14ac:dyDescent="0.25">
      <c r="A25" s="1"/>
      <c r="B25" s="28"/>
      <c r="C25" s="28"/>
      <c r="D25" s="28"/>
      <c r="E25" s="28"/>
      <c r="F25" s="28"/>
    </row>
    <row r="26" spans="1:6" ht="15.95" customHeight="1" x14ac:dyDescent="0.25">
      <c r="A26" s="1" t="s">
        <v>18</v>
      </c>
      <c r="B26" s="6">
        <f>B24</f>
        <v>897589</v>
      </c>
      <c r="C26" s="6">
        <f t="shared" ref="C26:F26" si="1">C24</f>
        <v>31902938</v>
      </c>
      <c r="D26" s="6">
        <f t="shared" si="1"/>
        <v>27470289</v>
      </c>
      <c r="E26" s="6">
        <f t="shared" si="1"/>
        <v>19507197</v>
      </c>
      <c r="F26" s="6">
        <f t="shared" si="1"/>
        <v>13607935</v>
      </c>
    </row>
    <row r="27" spans="1:6" ht="15.95" customHeight="1" x14ac:dyDescent="0.25">
      <c r="A27" s="1" t="s">
        <v>49</v>
      </c>
      <c r="B27" s="6">
        <v>65000</v>
      </c>
      <c r="C27" s="6">
        <v>3205000</v>
      </c>
      <c r="D27" s="6">
        <v>610000</v>
      </c>
      <c r="E27" s="6">
        <v>1295000</v>
      </c>
      <c r="F27" s="6">
        <v>530000</v>
      </c>
    </row>
    <row r="28" spans="1:6" ht="15.95" customHeight="1" x14ac:dyDescent="0.25">
      <c r="A28" s="1" t="s">
        <v>19</v>
      </c>
      <c r="B28" s="7">
        <v>13.81</v>
      </c>
      <c r="C28" s="7">
        <v>9.9499999999999993</v>
      </c>
      <c r="D28" s="7">
        <v>45.03</v>
      </c>
      <c r="E28" s="7">
        <v>15.06</v>
      </c>
      <c r="F28" s="7">
        <v>25.68</v>
      </c>
    </row>
    <row r="29" spans="1:6" ht="15.95" customHeight="1" x14ac:dyDescent="0.25">
      <c r="A29" s="1"/>
      <c r="B29" s="27"/>
      <c r="C29" s="27"/>
      <c r="D29" s="27"/>
      <c r="E29" s="27"/>
      <c r="F29" s="27"/>
    </row>
    <row r="30" spans="1:6" ht="15.95" customHeight="1" x14ac:dyDescent="0.25">
      <c r="A30" s="2" t="s">
        <v>20</v>
      </c>
      <c r="B30" s="27"/>
      <c r="C30" s="27"/>
      <c r="D30" s="27"/>
      <c r="E30" s="27"/>
      <c r="F30" s="27"/>
    </row>
    <row r="31" spans="1:6" ht="15.95" customHeight="1" x14ac:dyDescent="0.25">
      <c r="A31" s="1" t="s">
        <v>21</v>
      </c>
      <c r="B31" s="7" t="s">
        <v>3</v>
      </c>
      <c r="C31" s="6">
        <v>3543467</v>
      </c>
      <c r="D31" s="6">
        <v>4517303</v>
      </c>
      <c r="E31" s="6">
        <v>1852045</v>
      </c>
      <c r="F31" s="6">
        <v>1453727</v>
      </c>
    </row>
    <row r="33" spans="1:2" ht="15.95" customHeight="1" x14ac:dyDescent="0.25">
      <c r="A33" s="19" t="s">
        <v>67</v>
      </c>
    </row>
    <row r="34" spans="1:2" ht="15.95" customHeight="1" x14ac:dyDescent="0.25">
      <c r="B34" s="17"/>
    </row>
  </sheetData>
  <mergeCells count="36">
    <mergeCell ref="B2"/>
    <mergeCell ref="C2"/>
    <mergeCell ref="D2"/>
    <mergeCell ref="E2"/>
    <mergeCell ref="F2"/>
    <mergeCell ref="F21"/>
    <mergeCell ref="B11"/>
    <mergeCell ref="C11"/>
    <mergeCell ref="D11"/>
    <mergeCell ref="E11"/>
    <mergeCell ref="F11"/>
    <mergeCell ref="B12"/>
    <mergeCell ref="C12"/>
    <mergeCell ref="D12"/>
    <mergeCell ref="E12"/>
    <mergeCell ref="F12"/>
    <mergeCell ref="B20"/>
    <mergeCell ref="B21"/>
    <mergeCell ref="C21"/>
    <mergeCell ref="D21"/>
    <mergeCell ref="E21"/>
    <mergeCell ref="B29"/>
    <mergeCell ref="C29"/>
    <mergeCell ref="D29"/>
    <mergeCell ref="E29"/>
    <mergeCell ref="F29"/>
    <mergeCell ref="B25"/>
    <mergeCell ref="C25"/>
    <mergeCell ref="D25"/>
    <mergeCell ref="E25"/>
    <mergeCell ref="F25"/>
    <mergeCell ref="B30"/>
    <mergeCell ref="C30"/>
    <mergeCell ref="D30"/>
    <mergeCell ref="E30"/>
    <mergeCell ref="F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5FE0-EA81-4AA2-9E1B-6C7AD8818BBF}">
  <dimension ref="A1:F34"/>
  <sheetViews>
    <sheetView zoomScale="80" zoomScaleNormal="80" workbookViewId="0">
      <selection activeCell="E9" sqref="E9"/>
    </sheetView>
  </sheetViews>
  <sheetFormatPr defaultColWidth="8.7109375" defaultRowHeight="15.95" customHeight="1" x14ac:dyDescent="0.25"/>
  <cols>
    <col min="1" max="1" width="36.85546875" style="3" bestFit="1" customWidth="1"/>
    <col min="2" max="6" width="30.5703125" style="3" customWidth="1"/>
    <col min="7" max="16384" width="8.7109375" style="3"/>
  </cols>
  <sheetData>
    <row r="1" spans="1:6" ht="38.450000000000003" customHeight="1" x14ac:dyDescent="0.25">
      <c r="A1" s="1"/>
      <c r="B1" s="2" t="s">
        <v>34</v>
      </c>
      <c r="C1" s="2" t="s">
        <v>35</v>
      </c>
      <c r="D1" s="2" t="s">
        <v>55</v>
      </c>
      <c r="E1" s="2" t="s">
        <v>56</v>
      </c>
      <c r="F1" s="2" t="s">
        <v>57</v>
      </c>
    </row>
    <row r="2" spans="1:6" ht="15.95" customHeight="1" x14ac:dyDescent="0.25">
      <c r="A2" s="2" t="s">
        <v>0</v>
      </c>
      <c r="B2" s="27"/>
      <c r="C2" s="27"/>
      <c r="D2" s="27"/>
      <c r="E2" s="27"/>
      <c r="F2" s="4"/>
    </row>
    <row r="3" spans="1:6" ht="15.95" customHeight="1" x14ac:dyDescent="0.25">
      <c r="A3" s="5" t="s">
        <v>1</v>
      </c>
      <c r="B3" s="6">
        <v>2891297</v>
      </c>
      <c r="C3" s="6">
        <v>400539</v>
      </c>
      <c r="D3" s="6">
        <v>1212413</v>
      </c>
      <c r="E3" s="6">
        <v>49301</v>
      </c>
      <c r="F3" s="6">
        <v>14292</v>
      </c>
    </row>
    <row r="4" spans="1:6" ht="15.95" customHeight="1" x14ac:dyDescent="0.25">
      <c r="A4" s="5" t="s">
        <v>72</v>
      </c>
      <c r="B4" s="6">
        <v>8996053</v>
      </c>
      <c r="C4" s="6">
        <v>2374839</v>
      </c>
      <c r="D4" s="6">
        <v>22020104</v>
      </c>
      <c r="E4" s="6">
        <v>262592</v>
      </c>
      <c r="F4" s="6">
        <v>271732</v>
      </c>
    </row>
    <row r="5" spans="1:6" ht="15.95" customHeight="1" x14ac:dyDescent="0.25">
      <c r="A5" s="5" t="s">
        <v>29</v>
      </c>
      <c r="B5" s="22">
        <v>3605386</v>
      </c>
      <c r="C5" s="22">
        <v>0</v>
      </c>
      <c r="D5" s="22">
        <v>1266422</v>
      </c>
      <c r="E5" s="22">
        <v>0</v>
      </c>
      <c r="F5" s="22">
        <v>26950</v>
      </c>
    </row>
    <row r="6" spans="1:6" ht="15.95" customHeight="1" x14ac:dyDescent="0.25">
      <c r="A6" s="5" t="s">
        <v>68</v>
      </c>
      <c r="B6" s="7" t="s">
        <v>3</v>
      </c>
      <c r="C6" s="7" t="s">
        <v>3</v>
      </c>
      <c r="D6" s="7" t="s">
        <v>3</v>
      </c>
      <c r="E6" s="7" t="s">
        <v>3</v>
      </c>
      <c r="F6" s="6">
        <v>375564</v>
      </c>
    </row>
    <row r="7" spans="1:6" ht="15.95" customHeight="1" x14ac:dyDescent="0.25">
      <c r="A7" s="5" t="s">
        <v>30</v>
      </c>
      <c r="B7" s="23">
        <v>23586</v>
      </c>
      <c r="C7" s="24" t="s">
        <v>3</v>
      </c>
      <c r="D7" s="24" t="s">
        <v>3</v>
      </c>
      <c r="E7" s="24" t="s">
        <v>3</v>
      </c>
      <c r="F7" s="24" t="s">
        <v>3</v>
      </c>
    </row>
    <row r="8" spans="1:6" ht="15.95" customHeight="1" thickBot="1" x14ac:dyDescent="0.3">
      <c r="A8" s="5" t="s">
        <v>4</v>
      </c>
      <c r="B8" s="6">
        <v>5693</v>
      </c>
      <c r="C8" s="6">
        <v>1491</v>
      </c>
      <c r="D8" s="6">
        <v>4427</v>
      </c>
      <c r="E8" s="7">
        <v>39</v>
      </c>
      <c r="F8" s="7">
        <v>23</v>
      </c>
    </row>
    <row r="9" spans="1:6" ht="15.95" customHeight="1" thickBot="1" x14ac:dyDescent="0.3">
      <c r="A9" s="1" t="s">
        <v>6</v>
      </c>
      <c r="B9" s="8">
        <f>SUM(B3:B8)</f>
        <v>15522015</v>
      </c>
      <c r="C9" s="8">
        <f t="shared" ref="C9:E9" si="0">SUM(C3:C8)</f>
        <v>2776869</v>
      </c>
      <c r="D9" s="8">
        <f t="shared" si="0"/>
        <v>24503366</v>
      </c>
      <c r="E9" s="8">
        <f t="shared" si="0"/>
        <v>311932</v>
      </c>
      <c r="F9" s="8">
        <f>SUM(F3:F8)</f>
        <v>688561</v>
      </c>
    </row>
    <row r="10" spans="1:6" ht="15.95" customHeight="1" x14ac:dyDescent="0.25">
      <c r="A10" s="1"/>
      <c r="B10" s="29"/>
      <c r="C10" s="29"/>
      <c r="D10" s="29"/>
      <c r="E10" s="29"/>
      <c r="F10" s="9"/>
    </row>
    <row r="11" spans="1:6" ht="15.95" customHeight="1" x14ac:dyDescent="0.25">
      <c r="A11" s="2" t="s">
        <v>7</v>
      </c>
      <c r="B11" s="27"/>
      <c r="C11" s="27"/>
      <c r="D11" s="27"/>
      <c r="E11" s="27"/>
      <c r="F11" s="4"/>
    </row>
    <row r="12" spans="1:6" ht="15.95" customHeight="1" x14ac:dyDescent="0.25">
      <c r="A12" s="5" t="s">
        <v>31</v>
      </c>
      <c r="B12" s="22">
        <v>164057</v>
      </c>
      <c r="C12" s="22">
        <v>293238</v>
      </c>
      <c r="D12" s="22">
        <v>147430</v>
      </c>
      <c r="E12" s="22">
        <v>52412</v>
      </c>
      <c r="F12" s="22">
        <v>0</v>
      </c>
    </row>
    <row r="13" spans="1:6" ht="15.95" customHeight="1" x14ac:dyDescent="0.25">
      <c r="A13" s="5" t="s">
        <v>32</v>
      </c>
      <c r="B13" s="7" t="s">
        <v>3</v>
      </c>
      <c r="C13" s="7" t="s">
        <v>3</v>
      </c>
      <c r="D13" s="6">
        <v>188604</v>
      </c>
      <c r="E13" s="7" t="s">
        <v>3</v>
      </c>
      <c r="F13" s="6">
        <v>312970</v>
      </c>
    </row>
    <row r="14" spans="1:6" ht="15.95" customHeight="1" x14ac:dyDescent="0.25">
      <c r="A14" s="5" t="s">
        <v>33</v>
      </c>
      <c r="B14" s="6">
        <v>386579</v>
      </c>
      <c r="C14" s="6">
        <v>127125</v>
      </c>
      <c r="D14" s="6">
        <v>967560</v>
      </c>
      <c r="E14" s="6">
        <v>835</v>
      </c>
      <c r="F14" s="7">
        <v>220</v>
      </c>
    </row>
    <row r="15" spans="1:6" ht="15.95" customHeight="1" x14ac:dyDescent="0.25">
      <c r="A15" s="5" t="s">
        <v>10</v>
      </c>
      <c r="B15" s="6">
        <v>9143</v>
      </c>
      <c r="C15" s="6">
        <v>1667</v>
      </c>
      <c r="D15" s="6">
        <v>15497</v>
      </c>
      <c r="E15" s="7">
        <v>30</v>
      </c>
      <c r="F15" s="7">
        <v>30</v>
      </c>
    </row>
    <row r="16" spans="1:6" ht="15.95" customHeight="1" thickBot="1" x14ac:dyDescent="0.3">
      <c r="A16" s="5" t="s">
        <v>69</v>
      </c>
      <c r="B16" s="6">
        <v>72</v>
      </c>
      <c r="C16" s="7" t="s">
        <v>3</v>
      </c>
      <c r="D16" s="7">
        <v>245</v>
      </c>
      <c r="E16" s="7" t="s">
        <v>3</v>
      </c>
      <c r="F16" s="7" t="s">
        <v>3</v>
      </c>
    </row>
    <row r="17" spans="1:6" ht="15.95" customHeight="1" thickBot="1" x14ac:dyDescent="0.3">
      <c r="A17" s="1" t="s">
        <v>12</v>
      </c>
      <c r="B17" s="10">
        <f>SUM(B12:B16)</f>
        <v>559851</v>
      </c>
      <c r="C17" s="10">
        <f t="shared" ref="C17:F17" si="1">SUM(C12:C16)</f>
        <v>422030</v>
      </c>
      <c r="D17" s="10">
        <f t="shared" si="1"/>
        <v>1319336</v>
      </c>
      <c r="E17" s="10">
        <f t="shared" si="1"/>
        <v>53277</v>
      </c>
      <c r="F17" s="10">
        <f t="shared" si="1"/>
        <v>313220</v>
      </c>
    </row>
    <row r="18" spans="1:6" ht="15.95" customHeight="1" thickBot="1" x14ac:dyDescent="0.3">
      <c r="A18" s="2" t="s">
        <v>13</v>
      </c>
      <c r="B18" s="11">
        <f>B9-B17</f>
        <v>14962164</v>
      </c>
      <c r="C18" s="11">
        <f t="shared" ref="C18:F18" si="2">C9-C17</f>
        <v>2354839</v>
      </c>
      <c r="D18" s="11">
        <f t="shared" si="2"/>
        <v>23184030</v>
      </c>
      <c r="E18" s="11">
        <f t="shared" si="2"/>
        <v>258655</v>
      </c>
      <c r="F18" s="11">
        <f t="shared" si="2"/>
        <v>375341</v>
      </c>
    </row>
    <row r="19" spans="1:6" ht="15.95" customHeight="1" thickTop="1" x14ac:dyDescent="0.25">
      <c r="A19" s="1"/>
      <c r="B19" s="15"/>
      <c r="C19" s="15"/>
      <c r="D19" s="15"/>
      <c r="E19" s="15"/>
      <c r="F19" s="15"/>
    </row>
    <row r="20" spans="1:6" ht="15.95" customHeight="1" x14ac:dyDescent="0.25">
      <c r="A20" s="2" t="s">
        <v>14</v>
      </c>
      <c r="B20" s="27"/>
      <c r="C20" s="27"/>
      <c r="D20" s="27"/>
      <c r="E20" s="27"/>
      <c r="F20" s="4"/>
    </row>
    <row r="21" spans="1:6" ht="15.95" customHeight="1" x14ac:dyDescent="0.25">
      <c r="A21" s="1" t="s">
        <v>15</v>
      </c>
      <c r="B21" s="18">
        <v>10666823</v>
      </c>
      <c r="C21" s="18">
        <v>2878589</v>
      </c>
      <c r="D21" s="18">
        <v>21043916</v>
      </c>
      <c r="E21" s="18">
        <v>311894</v>
      </c>
      <c r="F21" s="18">
        <v>437594</v>
      </c>
    </row>
    <row r="22" spans="1:6" ht="15.95" customHeight="1" thickBot="1" x14ac:dyDescent="0.3">
      <c r="A22" s="1" t="s">
        <v>16</v>
      </c>
      <c r="B22" s="18">
        <v>4295341</v>
      </c>
      <c r="C22" s="18">
        <v>-523750</v>
      </c>
      <c r="D22" s="18">
        <v>2140114</v>
      </c>
      <c r="E22" s="18">
        <v>-53239</v>
      </c>
      <c r="F22" s="18">
        <v>-62253</v>
      </c>
    </row>
    <row r="23" spans="1:6" ht="15.95" customHeight="1" thickBot="1" x14ac:dyDescent="0.3">
      <c r="A23" s="1" t="s">
        <v>17</v>
      </c>
      <c r="B23" s="11">
        <f>SUM(B21:B22)</f>
        <v>14962164</v>
      </c>
      <c r="C23" s="11">
        <f t="shared" ref="C23:F23" si="3">SUM(C21:C22)</f>
        <v>2354839</v>
      </c>
      <c r="D23" s="11">
        <f t="shared" si="3"/>
        <v>23184030</v>
      </c>
      <c r="E23" s="11">
        <f t="shared" si="3"/>
        <v>258655</v>
      </c>
      <c r="F23" s="11">
        <f t="shared" si="3"/>
        <v>375341</v>
      </c>
    </row>
    <row r="24" spans="1:6" ht="15.95" customHeight="1" thickTop="1" x14ac:dyDescent="0.25">
      <c r="A24" s="1"/>
      <c r="B24" s="28"/>
      <c r="C24" s="28"/>
      <c r="D24" s="28"/>
      <c r="E24" s="28"/>
      <c r="F24" s="12"/>
    </row>
    <row r="25" spans="1:6" ht="15.95" customHeight="1" x14ac:dyDescent="0.25">
      <c r="A25" s="1" t="s">
        <v>18</v>
      </c>
      <c r="B25" s="6">
        <f>B23</f>
        <v>14962164</v>
      </c>
      <c r="C25" s="6">
        <f t="shared" ref="C25:F25" si="4">C23</f>
        <v>2354839</v>
      </c>
      <c r="D25" s="6">
        <f t="shared" si="4"/>
        <v>23184030</v>
      </c>
      <c r="E25" s="6">
        <f t="shared" si="4"/>
        <v>258655</v>
      </c>
      <c r="F25" s="6">
        <f t="shared" si="4"/>
        <v>375341</v>
      </c>
    </row>
    <row r="26" spans="1:6" ht="15.95" customHeight="1" x14ac:dyDescent="0.25">
      <c r="A26" s="1" t="s">
        <v>49</v>
      </c>
      <c r="B26" s="6">
        <v>445000</v>
      </c>
      <c r="C26" s="6">
        <v>175000</v>
      </c>
      <c r="D26" s="6">
        <v>1230000</v>
      </c>
      <c r="E26" s="6">
        <v>20000</v>
      </c>
      <c r="F26" s="6">
        <v>30000</v>
      </c>
    </row>
    <row r="27" spans="1:6" ht="15.95" customHeight="1" x14ac:dyDescent="0.25">
      <c r="A27" s="1" t="s">
        <v>19</v>
      </c>
      <c r="B27" s="7">
        <v>33.619999999999997</v>
      </c>
      <c r="C27" s="7">
        <v>13.46</v>
      </c>
      <c r="D27" s="7">
        <v>18.850000000000001</v>
      </c>
      <c r="E27" s="7">
        <v>12.93</v>
      </c>
      <c r="F27" s="7">
        <v>12.51</v>
      </c>
    </row>
    <row r="28" spans="1:6" ht="15.95" customHeight="1" x14ac:dyDescent="0.25">
      <c r="A28" s="1"/>
      <c r="B28" s="27"/>
      <c r="C28" s="27"/>
      <c r="D28" s="27"/>
      <c r="E28" s="27"/>
      <c r="F28" s="4"/>
    </row>
    <row r="29" spans="1:6" ht="15.95" customHeight="1" x14ac:dyDescent="0.25">
      <c r="A29" s="2" t="s">
        <v>20</v>
      </c>
      <c r="B29" s="27"/>
      <c r="C29" s="27"/>
      <c r="D29" s="27"/>
      <c r="E29" s="27"/>
      <c r="F29" s="4"/>
    </row>
    <row r="30" spans="1:6" ht="15.95" customHeight="1" x14ac:dyDescent="0.25">
      <c r="A30" s="1" t="s">
        <v>21</v>
      </c>
      <c r="B30" s="6">
        <v>2891297</v>
      </c>
      <c r="C30" s="6">
        <v>400539</v>
      </c>
      <c r="D30" s="6">
        <v>1212413</v>
      </c>
      <c r="E30" s="6">
        <v>49301</v>
      </c>
      <c r="F30" s="6">
        <v>14292</v>
      </c>
    </row>
    <row r="32" spans="1:6" ht="15.95" customHeight="1" x14ac:dyDescent="0.25">
      <c r="A32" s="19" t="s">
        <v>67</v>
      </c>
    </row>
    <row r="34" spans="2:6" ht="15.95" customHeight="1" x14ac:dyDescent="0.25">
      <c r="B34" s="16"/>
      <c r="C34" s="16"/>
      <c r="D34" s="16"/>
      <c r="E34" s="16"/>
      <c r="F34" s="16"/>
    </row>
  </sheetData>
  <mergeCells count="28">
    <mergeCell ref="B2"/>
    <mergeCell ref="C2"/>
    <mergeCell ref="D2"/>
    <mergeCell ref="E2"/>
    <mergeCell ref="B20"/>
    <mergeCell ref="C20"/>
    <mergeCell ref="D20"/>
    <mergeCell ref="E20"/>
    <mergeCell ref="B10"/>
    <mergeCell ref="C10"/>
    <mergeCell ref="D10"/>
    <mergeCell ref="E10"/>
    <mergeCell ref="B11"/>
    <mergeCell ref="C11"/>
    <mergeCell ref="D11"/>
    <mergeCell ref="E11"/>
    <mergeCell ref="B29"/>
    <mergeCell ref="C29"/>
    <mergeCell ref="D29"/>
    <mergeCell ref="E29"/>
    <mergeCell ref="B24"/>
    <mergeCell ref="C24"/>
    <mergeCell ref="D24"/>
    <mergeCell ref="E24"/>
    <mergeCell ref="B28"/>
    <mergeCell ref="C28"/>
    <mergeCell ref="D28"/>
    <mergeCell ref="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B3C6-27F4-4CAC-A9AB-A84587B59A9F}">
  <dimension ref="A1:F33"/>
  <sheetViews>
    <sheetView zoomScale="80" zoomScaleNormal="80" workbookViewId="0">
      <selection activeCell="J3" sqref="J3"/>
    </sheetView>
  </sheetViews>
  <sheetFormatPr defaultColWidth="8.7109375" defaultRowHeight="15.95" customHeight="1" x14ac:dyDescent="0.25"/>
  <cols>
    <col min="1" max="1" width="36.85546875" style="3" bestFit="1" customWidth="1"/>
    <col min="2" max="6" width="30.5703125" style="3" customWidth="1"/>
    <col min="7" max="16384" width="8.7109375" style="3"/>
  </cols>
  <sheetData>
    <row r="1" spans="1:6" ht="38.450000000000003" customHeight="1" x14ac:dyDescent="0.25">
      <c r="A1" s="1"/>
      <c r="B1" s="2" t="s">
        <v>58</v>
      </c>
      <c r="C1" s="2" t="s">
        <v>36</v>
      </c>
      <c r="D1" s="2" t="s">
        <v>59</v>
      </c>
      <c r="E1" s="2" t="s">
        <v>60</v>
      </c>
      <c r="F1" s="2" t="s">
        <v>37</v>
      </c>
    </row>
    <row r="2" spans="1:6" ht="15.95" customHeight="1" x14ac:dyDescent="0.25">
      <c r="A2" s="2" t="s">
        <v>0</v>
      </c>
      <c r="B2" s="27"/>
      <c r="C2" s="27"/>
      <c r="D2" s="27"/>
      <c r="E2" s="27"/>
      <c r="F2" s="4"/>
    </row>
    <row r="3" spans="1:6" ht="15.95" customHeight="1" x14ac:dyDescent="0.25">
      <c r="A3" s="5" t="s">
        <v>1</v>
      </c>
      <c r="B3" s="6">
        <v>1427104</v>
      </c>
      <c r="C3" s="6">
        <v>798379</v>
      </c>
      <c r="D3" s="6">
        <v>1085694</v>
      </c>
      <c r="E3" s="6">
        <v>3061107</v>
      </c>
      <c r="F3" s="6">
        <v>3273245</v>
      </c>
    </row>
    <row r="4" spans="1:6" ht="15.95" customHeight="1" x14ac:dyDescent="0.25">
      <c r="A4" s="5" t="s">
        <v>72</v>
      </c>
      <c r="B4" s="6">
        <v>17907541</v>
      </c>
      <c r="C4" s="6">
        <v>6076153</v>
      </c>
      <c r="D4" s="6">
        <v>6877433</v>
      </c>
      <c r="E4" s="6">
        <v>65778923</v>
      </c>
      <c r="F4" s="6">
        <v>19225490</v>
      </c>
    </row>
    <row r="5" spans="1:6" ht="15.95" customHeight="1" x14ac:dyDescent="0.25">
      <c r="A5" s="5" t="s">
        <v>29</v>
      </c>
      <c r="B5" s="22">
        <v>62871</v>
      </c>
      <c r="C5" s="22">
        <v>1302354</v>
      </c>
      <c r="D5" s="22">
        <v>0</v>
      </c>
      <c r="E5" s="22">
        <v>360038</v>
      </c>
      <c r="F5" s="22">
        <v>3350419</v>
      </c>
    </row>
    <row r="6" spans="1:6" ht="15.95" customHeight="1" x14ac:dyDescent="0.25">
      <c r="A6" s="5" t="s">
        <v>68</v>
      </c>
      <c r="B6" s="7" t="s">
        <v>3</v>
      </c>
      <c r="C6" s="7" t="s">
        <v>3</v>
      </c>
      <c r="D6" s="7" t="s">
        <v>3</v>
      </c>
      <c r="E6" s="6">
        <v>587865</v>
      </c>
      <c r="F6" s="7" t="s">
        <v>3</v>
      </c>
    </row>
    <row r="7" spans="1:6" ht="15.95" customHeight="1" x14ac:dyDescent="0.25">
      <c r="A7" s="5" t="s">
        <v>30</v>
      </c>
      <c r="B7" s="6">
        <v>45713</v>
      </c>
      <c r="C7" s="6">
        <v>341362</v>
      </c>
      <c r="D7" s="23">
        <v>12204</v>
      </c>
      <c r="E7" s="6">
        <v>23369</v>
      </c>
      <c r="F7" s="23">
        <v>34230</v>
      </c>
    </row>
    <row r="8" spans="1:6" ht="15.95" customHeight="1" x14ac:dyDescent="0.25">
      <c r="A8" s="5" t="s">
        <v>4</v>
      </c>
      <c r="B8" s="6">
        <v>4093</v>
      </c>
      <c r="C8" s="6">
        <v>2755</v>
      </c>
      <c r="D8" s="6">
        <v>3905</v>
      </c>
      <c r="E8" s="6">
        <v>10717</v>
      </c>
      <c r="F8" s="6">
        <v>10051</v>
      </c>
    </row>
    <row r="9" spans="1:6" ht="15.95" customHeight="1" thickBot="1" x14ac:dyDescent="0.3">
      <c r="A9" s="5" t="s">
        <v>70</v>
      </c>
      <c r="B9" s="7" t="s">
        <v>3</v>
      </c>
      <c r="C9" s="7">
        <v>647</v>
      </c>
      <c r="D9" s="7" t="s">
        <v>3</v>
      </c>
      <c r="E9" s="7" t="s">
        <v>3</v>
      </c>
      <c r="F9" s="7" t="s">
        <v>3</v>
      </c>
    </row>
    <row r="10" spans="1:6" ht="15.95" customHeight="1" thickBot="1" x14ac:dyDescent="0.3">
      <c r="A10" s="1" t="s">
        <v>6</v>
      </c>
      <c r="B10" s="8">
        <f>SUM(B3:B9)</f>
        <v>19447322</v>
      </c>
      <c r="C10" s="8">
        <f t="shared" ref="C10:F10" si="0">SUM(C3:C9)</f>
        <v>8521650</v>
      </c>
      <c r="D10" s="8">
        <f t="shared" si="0"/>
        <v>7979236</v>
      </c>
      <c r="E10" s="8">
        <f t="shared" si="0"/>
        <v>69822019</v>
      </c>
      <c r="F10" s="8">
        <f t="shared" si="0"/>
        <v>25893435</v>
      </c>
    </row>
    <row r="11" spans="1:6" ht="15.95" customHeight="1" x14ac:dyDescent="0.25">
      <c r="A11" s="1"/>
      <c r="B11" s="29"/>
      <c r="C11" s="29"/>
      <c r="D11" s="29"/>
      <c r="E11" s="29"/>
      <c r="F11" s="9"/>
    </row>
    <row r="12" spans="1:6" ht="15.95" customHeight="1" x14ac:dyDescent="0.25">
      <c r="A12" s="2" t="s">
        <v>7</v>
      </c>
      <c r="B12" s="27"/>
      <c r="C12" s="27"/>
      <c r="D12" s="27"/>
      <c r="E12" s="27"/>
      <c r="F12" s="4"/>
    </row>
    <row r="13" spans="1:6" ht="15.95" customHeight="1" x14ac:dyDescent="0.25">
      <c r="A13" s="5" t="s">
        <v>31</v>
      </c>
      <c r="B13" s="22">
        <v>616257</v>
      </c>
      <c r="C13" s="22">
        <v>16952</v>
      </c>
      <c r="D13" s="22">
        <v>95171</v>
      </c>
      <c r="E13" s="22">
        <v>1853428</v>
      </c>
      <c r="F13" s="22">
        <v>0</v>
      </c>
    </row>
    <row r="14" spans="1:6" ht="15.95" customHeight="1" x14ac:dyDescent="0.25">
      <c r="A14" s="5" t="s">
        <v>32</v>
      </c>
      <c r="B14" s="6">
        <v>342660</v>
      </c>
      <c r="C14" s="6">
        <v>366595</v>
      </c>
      <c r="D14" s="6">
        <v>1784633</v>
      </c>
      <c r="E14" s="7" t="s">
        <v>3</v>
      </c>
      <c r="F14" s="7" t="s">
        <v>3</v>
      </c>
    </row>
    <row r="15" spans="1:6" ht="15.95" customHeight="1" x14ac:dyDescent="0.25">
      <c r="A15" s="5" t="s">
        <v>33</v>
      </c>
      <c r="B15" s="6">
        <v>1139493</v>
      </c>
      <c r="C15" s="6">
        <v>67161</v>
      </c>
      <c r="D15" s="6">
        <v>220265</v>
      </c>
      <c r="E15" s="6">
        <v>1686936</v>
      </c>
      <c r="F15" s="6">
        <v>336442</v>
      </c>
    </row>
    <row r="16" spans="1:6" ht="15.95" customHeight="1" x14ac:dyDescent="0.25">
      <c r="A16" s="5" t="s">
        <v>10</v>
      </c>
      <c r="B16" s="6">
        <v>7796</v>
      </c>
      <c r="C16" s="6">
        <v>5266</v>
      </c>
      <c r="D16" s="6">
        <v>4968</v>
      </c>
      <c r="E16" s="6">
        <v>36543</v>
      </c>
      <c r="F16" s="6">
        <v>14322</v>
      </c>
    </row>
    <row r="17" spans="1:6" ht="15.95" customHeight="1" thickBot="1" x14ac:dyDescent="0.3">
      <c r="A17" s="5" t="s">
        <v>69</v>
      </c>
      <c r="B17" s="6">
        <v>1382</v>
      </c>
      <c r="C17" s="7" t="s">
        <v>3</v>
      </c>
      <c r="D17" s="7">
        <v>1</v>
      </c>
      <c r="E17" s="6">
        <v>1183</v>
      </c>
      <c r="F17" s="6">
        <v>21</v>
      </c>
    </row>
    <row r="18" spans="1:6" ht="15.95" customHeight="1" thickBot="1" x14ac:dyDescent="0.3">
      <c r="A18" s="1" t="s">
        <v>12</v>
      </c>
      <c r="B18" s="10">
        <f>SUM(B13:B17)</f>
        <v>2107588</v>
      </c>
      <c r="C18" s="10">
        <f t="shared" ref="C18:F18" si="1">SUM(C13:C17)</f>
        <v>455974</v>
      </c>
      <c r="D18" s="10">
        <f t="shared" si="1"/>
        <v>2105038</v>
      </c>
      <c r="E18" s="10">
        <f t="shared" si="1"/>
        <v>3578090</v>
      </c>
      <c r="F18" s="10">
        <f t="shared" si="1"/>
        <v>350785</v>
      </c>
    </row>
    <row r="19" spans="1:6" ht="15.95" customHeight="1" thickBot="1" x14ac:dyDescent="0.3">
      <c r="A19" s="2" t="s">
        <v>13</v>
      </c>
      <c r="B19" s="11">
        <f>B10-B18</f>
        <v>17339734</v>
      </c>
      <c r="C19" s="11">
        <f t="shared" ref="C19:F19" si="2">C10-C18</f>
        <v>8065676</v>
      </c>
      <c r="D19" s="11">
        <f t="shared" si="2"/>
        <v>5874198</v>
      </c>
      <c r="E19" s="11">
        <f t="shared" si="2"/>
        <v>66243929</v>
      </c>
      <c r="F19" s="11">
        <f t="shared" si="2"/>
        <v>25542650</v>
      </c>
    </row>
    <row r="20" spans="1:6" ht="15.95" customHeight="1" thickTop="1" x14ac:dyDescent="0.25">
      <c r="A20" s="1"/>
      <c r="B20" s="15"/>
      <c r="C20" s="15"/>
      <c r="D20" s="15"/>
      <c r="E20" s="15"/>
      <c r="F20" s="15"/>
    </row>
    <row r="21" spans="1:6" ht="15.95" customHeight="1" x14ac:dyDescent="0.25">
      <c r="A21" s="2" t="s">
        <v>14</v>
      </c>
      <c r="B21" s="27"/>
      <c r="C21" s="27"/>
      <c r="D21" s="27"/>
      <c r="E21" s="27"/>
      <c r="F21" s="4"/>
    </row>
    <row r="22" spans="1:6" ht="15.95" customHeight="1" x14ac:dyDescent="0.25">
      <c r="A22" s="1" t="s">
        <v>15</v>
      </c>
      <c r="B22" s="18">
        <v>23039422</v>
      </c>
      <c r="C22" s="18">
        <v>7501091</v>
      </c>
      <c r="D22" s="18">
        <v>6186302</v>
      </c>
      <c r="E22" s="18">
        <v>80725010</v>
      </c>
      <c r="F22" s="18">
        <v>23930064</v>
      </c>
    </row>
    <row r="23" spans="1:6" ht="15.95" customHeight="1" thickBot="1" x14ac:dyDescent="0.3">
      <c r="A23" s="1" t="s">
        <v>16</v>
      </c>
      <c r="B23" s="18">
        <v>-5699688</v>
      </c>
      <c r="C23" s="18">
        <v>564585</v>
      </c>
      <c r="D23" s="18">
        <v>-312104</v>
      </c>
      <c r="E23" s="18">
        <v>-14481081</v>
      </c>
      <c r="F23" s="18">
        <v>1612586</v>
      </c>
    </row>
    <row r="24" spans="1:6" ht="15.95" customHeight="1" thickBot="1" x14ac:dyDescent="0.3">
      <c r="A24" s="1" t="s">
        <v>17</v>
      </c>
      <c r="B24" s="11">
        <f>SUM(B22:B23)</f>
        <v>17339734</v>
      </c>
      <c r="C24" s="11">
        <f t="shared" ref="C24:F24" si="3">SUM(C22:C23)</f>
        <v>8065676</v>
      </c>
      <c r="D24" s="11">
        <f t="shared" si="3"/>
        <v>5874198</v>
      </c>
      <c r="E24" s="11">
        <f t="shared" si="3"/>
        <v>66243929</v>
      </c>
      <c r="F24" s="11">
        <f t="shared" si="3"/>
        <v>25542650</v>
      </c>
    </row>
    <row r="25" spans="1:6" ht="15.95" customHeight="1" thickTop="1" x14ac:dyDescent="0.25">
      <c r="A25" s="1"/>
      <c r="B25" s="28"/>
      <c r="C25" s="28"/>
      <c r="D25" s="28"/>
      <c r="E25" s="28"/>
      <c r="F25" s="12"/>
    </row>
    <row r="26" spans="1:6" ht="15.95" customHeight="1" x14ac:dyDescent="0.25">
      <c r="A26" s="1" t="s">
        <v>18</v>
      </c>
      <c r="B26" s="6">
        <f>B24</f>
        <v>17339734</v>
      </c>
      <c r="C26" s="6">
        <f t="shared" ref="C26:F26" si="4">C24</f>
        <v>8065676</v>
      </c>
      <c r="D26" s="6">
        <f t="shared" si="4"/>
        <v>5874198</v>
      </c>
      <c r="E26" s="6">
        <f t="shared" si="4"/>
        <v>66243929</v>
      </c>
      <c r="F26" s="6">
        <f t="shared" si="4"/>
        <v>25542650</v>
      </c>
    </row>
    <row r="27" spans="1:6" ht="15.95" customHeight="1" x14ac:dyDescent="0.25">
      <c r="A27" s="1" t="s">
        <v>49</v>
      </c>
      <c r="B27" s="6">
        <v>2525000</v>
      </c>
      <c r="C27" s="6">
        <v>220000</v>
      </c>
      <c r="D27" s="6">
        <v>445000</v>
      </c>
      <c r="E27" s="6">
        <v>8440000</v>
      </c>
      <c r="F27" s="6">
        <v>1865000</v>
      </c>
    </row>
    <row r="28" spans="1:6" ht="15.95" customHeight="1" x14ac:dyDescent="0.25">
      <c r="A28" s="1" t="s">
        <v>19</v>
      </c>
      <c r="B28" s="7">
        <v>6.87</v>
      </c>
      <c r="C28" s="7">
        <v>36.659999999999997</v>
      </c>
      <c r="D28" s="21">
        <v>13.2</v>
      </c>
      <c r="E28" s="7">
        <v>7.85</v>
      </c>
      <c r="F28" s="20">
        <v>13.7</v>
      </c>
    </row>
    <row r="29" spans="1:6" ht="15.95" customHeight="1" x14ac:dyDescent="0.25">
      <c r="A29" s="1"/>
      <c r="B29" s="27"/>
      <c r="C29" s="27"/>
      <c r="D29" s="27"/>
      <c r="E29" s="27"/>
      <c r="F29" s="4"/>
    </row>
    <row r="30" spans="1:6" ht="15.95" customHeight="1" x14ac:dyDescent="0.25">
      <c r="A30" s="2" t="s">
        <v>20</v>
      </c>
      <c r="B30" s="27"/>
      <c r="C30" s="27"/>
      <c r="D30" s="27"/>
      <c r="E30" s="27"/>
      <c r="F30" s="4"/>
    </row>
    <row r="31" spans="1:6" ht="15.95" customHeight="1" x14ac:dyDescent="0.25">
      <c r="A31" s="1" t="s">
        <v>21</v>
      </c>
      <c r="B31" s="6">
        <v>1427104</v>
      </c>
      <c r="C31" s="6">
        <v>798379</v>
      </c>
      <c r="D31" s="6">
        <v>1085694</v>
      </c>
      <c r="E31" s="6">
        <v>3061107</v>
      </c>
      <c r="F31" s="6">
        <v>3273245</v>
      </c>
    </row>
    <row r="33" spans="1:6" ht="15.95" customHeight="1" x14ac:dyDescent="0.25">
      <c r="A33" s="19" t="s">
        <v>67</v>
      </c>
      <c r="B33" s="17"/>
      <c r="C33" s="17"/>
      <c r="D33" s="17"/>
      <c r="E33" s="17"/>
      <c r="F33" s="17"/>
    </row>
  </sheetData>
  <mergeCells count="28">
    <mergeCell ref="B2"/>
    <mergeCell ref="C2"/>
    <mergeCell ref="D2"/>
    <mergeCell ref="E2"/>
    <mergeCell ref="B21"/>
    <mergeCell ref="C21"/>
    <mergeCell ref="D21"/>
    <mergeCell ref="E21"/>
    <mergeCell ref="B11"/>
    <mergeCell ref="C11"/>
    <mergeCell ref="D11"/>
    <mergeCell ref="E11"/>
    <mergeCell ref="B12"/>
    <mergeCell ref="C12"/>
    <mergeCell ref="D12"/>
    <mergeCell ref="E12"/>
    <mergeCell ref="B30"/>
    <mergeCell ref="C30"/>
    <mergeCell ref="D30"/>
    <mergeCell ref="E30"/>
    <mergeCell ref="B25"/>
    <mergeCell ref="C25"/>
    <mergeCell ref="D25"/>
    <mergeCell ref="E25"/>
    <mergeCell ref="B29"/>
    <mergeCell ref="C29"/>
    <mergeCell ref="D29"/>
    <mergeCell ref="E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F4CF-4417-420D-82AB-296CFFEC2A42}">
  <dimension ref="A1:F37"/>
  <sheetViews>
    <sheetView zoomScale="80" zoomScaleNormal="80" workbookViewId="0">
      <selection activeCell="I15" sqref="I15"/>
    </sheetView>
  </sheetViews>
  <sheetFormatPr defaultColWidth="8.7109375" defaultRowHeight="15.95" customHeight="1" x14ac:dyDescent="0.25"/>
  <cols>
    <col min="1" max="1" width="36.85546875" style="3" bestFit="1" customWidth="1"/>
    <col min="2" max="7" width="30.5703125" style="3" customWidth="1"/>
    <col min="8" max="16384" width="8.7109375" style="3"/>
  </cols>
  <sheetData>
    <row r="1" spans="1:6" ht="38.450000000000003" customHeight="1" x14ac:dyDescent="0.25">
      <c r="A1" s="1"/>
      <c r="B1" s="2" t="s">
        <v>61</v>
      </c>
      <c r="C1" s="2" t="s">
        <v>62</v>
      </c>
      <c r="D1" s="2" t="s">
        <v>63</v>
      </c>
      <c r="E1" s="2" t="s">
        <v>64</v>
      </c>
      <c r="F1" s="2" t="s">
        <v>38</v>
      </c>
    </row>
    <row r="2" spans="1:6" ht="15.95" customHeight="1" x14ac:dyDescent="0.25">
      <c r="A2" s="2" t="s">
        <v>0</v>
      </c>
      <c r="B2" s="4"/>
      <c r="C2" s="4"/>
      <c r="D2" s="4"/>
      <c r="E2" s="4"/>
      <c r="F2" s="4"/>
    </row>
    <row r="3" spans="1:6" ht="15.95" customHeight="1" x14ac:dyDescent="0.25">
      <c r="A3" s="5" t="s">
        <v>1</v>
      </c>
      <c r="B3" s="6">
        <v>5166911</v>
      </c>
      <c r="C3" s="6">
        <v>28006</v>
      </c>
      <c r="D3" s="7" t="s">
        <v>3</v>
      </c>
      <c r="E3" s="6">
        <v>155691</v>
      </c>
      <c r="F3" s="6">
        <v>12725644</v>
      </c>
    </row>
    <row r="4" spans="1:6" ht="15.95" customHeight="1" x14ac:dyDescent="0.25">
      <c r="A4" s="5" t="s">
        <v>5</v>
      </c>
      <c r="B4" s="7" t="s">
        <v>3</v>
      </c>
      <c r="C4" s="7" t="s">
        <v>3</v>
      </c>
      <c r="D4" s="6">
        <v>288188</v>
      </c>
      <c r="E4" s="7" t="s">
        <v>3</v>
      </c>
      <c r="F4" s="7" t="s">
        <v>3</v>
      </c>
    </row>
    <row r="5" spans="1:6" ht="15.95" customHeight="1" x14ac:dyDescent="0.25">
      <c r="A5" s="5" t="s">
        <v>72</v>
      </c>
      <c r="B5" s="6">
        <v>69776376</v>
      </c>
      <c r="C5" s="6">
        <v>6966421</v>
      </c>
      <c r="D5" s="6">
        <v>1794324</v>
      </c>
      <c r="E5" s="6">
        <v>4019593</v>
      </c>
      <c r="F5" s="6">
        <v>73761140</v>
      </c>
    </row>
    <row r="6" spans="1:6" ht="15.95" customHeight="1" x14ac:dyDescent="0.25">
      <c r="A6" s="5" t="s">
        <v>29</v>
      </c>
      <c r="B6" s="22">
        <v>13588918</v>
      </c>
      <c r="C6" s="22">
        <v>32600</v>
      </c>
      <c r="D6" s="22">
        <v>490921</v>
      </c>
      <c r="E6" s="22">
        <v>426292</v>
      </c>
      <c r="F6" s="22">
        <v>22386848</v>
      </c>
    </row>
    <row r="7" spans="1:6" ht="15.95" customHeight="1" x14ac:dyDescent="0.25">
      <c r="A7" s="5" t="s">
        <v>68</v>
      </c>
      <c r="B7" s="7" t="s">
        <v>3</v>
      </c>
      <c r="C7" s="7" t="s">
        <v>3</v>
      </c>
      <c r="D7" s="7" t="s">
        <v>3</v>
      </c>
      <c r="E7" s="6">
        <v>390043</v>
      </c>
      <c r="F7" s="7" t="s">
        <v>3</v>
      </c>
    </row>
    <row r="8" spans="1:6" ht="15.95" customHeight="1" x14ac:dyDescent="0.25">
      <c r="A8" s="5" t="s">
        <v>2</v>
      </c>
      <c r="B8" s="7" t="s">
        <v>3</v>
      </c>
      <c r="C8" s="7" t="s">
        <v>3</v>
      </c>
      <c r="D8" s="7" t="s">
        <v>3</v>
      </c>
      <c r="E8" s="7" t="s">
        <v>3</v>
      </c>
      <c r="F8" s="6">
        <v>110990543</v>
      </c>
    </row>
    <row r="9" spans="1:6" ht="15.95" customHeight="1" x14ac:dyDescent="0.25">
      <c r="A9" s="5" t="s">
        <v>30</v>
      </c>
      <c r="B9" s="6">
        <v>1265087</v>
      </c>
      <c r="C9" s="7" t="s">
        <v>3</v>
      </c>
      <c r="D9" s="22">
        <v>1496</v>
      </c>
      <c r="E9" s="7" t="s">
        <v>3</v>
      </c>
      <c r="F9" s="6">
        <v>1190925</v>
      </c>
    </row>
    <row r="10" spans="1:6" ht="15.95" customHeight="1" thickBot="1" x14ac:dyDescent="0.3">
      <c r="A10" s="5" t="s">
        <v>4</v>
      </c>
      <c r="B10" s="6">
        <v>13694</v>
      </c>
      <c r="C10" s="7">
        <v>181</v>
      </c>
      <c r="D10" s="7" t="s">
        <v>3</v>
      </c>
      <c r="E10" s="7">
        <v>629</v>
      </c>
      <c r="F10" s="6">
        <v>39065</v>
      </c>
    </row>
    <row r="11" spans="1:6" ht="15.95" customHeight="1" thickBot="1" x14ac:dyDescent="0.3">
      <c r="A11" s="1" t="s">
        <v>6</v>
      </c>
      <c r="B11" s="8">
        <f>SUM(B3:B10)</f>
        <v>89810986</v>
      </c>
      <c r="C11" s="8">
        <f>SUM(C3:C10)</f>
        <v>7027208</v>
      </c>
      <c r="D11" s="8">
        <f>SUM(D3:D10)</f>
        <v>2574929</v>
      </c>
      <c r="E11" s="8">
        <f>SUM(E3:E10)</f>
        <v>4992248</v>
      </c>
      <c r="F11" s="8">
        <f>SUM(F3:F10)</f>
        <v>221094165</v>
      </c>
    </row>
    <row r="12" spans="1:6" ht="15.95" customHeight="1" x14ac:dyDescent="0.25">
      <c r="A12" s="1"/>
      <c r="B12" s="9"/>
      <c r="C12" s="9"/>
      <c r="D12" s="9"/>
      <c r="E12" s="9"/>
      <c r="F12" s="9"/>
    </row>
    <row r="13" spans="1:6" ht="15.95" customHeight="1" x14ac:dyDescent="0.25">
      <c r="A13" s="2" t="s">
        <v>7</v>
      </c>
      <c r="B13" s="4"/>
      <c r="C13" s="4"/>
      <c r="D13" s="4"/>
      <c r="E13" s="4"/>
      <c r="F13" s="4"/>
    </row>
    <row r="14" spans="1:6" ht="15.95" customHeight="1" x14ac:dyDescent="0.25">
      <c r="A14" s="5" t="s">
        <v>31</v>
      </c>
      <c r="B14" s="22">
        <v>738612</v>
      </c>
      <c r="C14" s="22">
        <v>17945</v>
      </c>
      <c r="D14" s="22">
        <v>0</v>
      </c>
      <c r="E14" s="22">
        <v>295403</v>
      </c>
      <c r="F14" s="22">
        <v>74142</v>
      </c>
    </row>
    <row r="15" spans="1:6" ht="15.95" customHeight="1" x14ac:dyDescent="0.25">
      <c r="A15" s="5" t="s">
        <v>32</v>
      </c>
      <c r="B15" s="7" t="s">
        <v>3</v>
      </c>
      <c r="C15" s="7" t="s">
        <v>3</v>
      </c>
      <c r="D15" s="7" t="s">
        <v>3</v>
      </c>
      <c r="E15" s="7" t="s">
        <v>3</v>
      </c>
      <c r="F15" s="6">
        <v>1733305</v>
      </c>
    </row>
    <row r="16" spans="1:6" ht="15.95" customHeight="1" x14ac:dyDescent="0.25">
      <c r="A16" s="5" t="s">
        <v>9</v>
      </c>
      <c r="B16" s="7" t="s">
        <v>3</v>
      </c>
      <c r="C16" s="7" t="s">
        <v>3</v>
      </c>
      <c r="D16" s="7" t="s">
        <v>3</v>
      </c>
      <c r="E16" s="7" t="s">
        <v>3</v>
      </c>
      <c r="F16" s="6">
        <v>111655550</v>
      </c>
    </row>
    <row r="17" spans="1:6" ht="15.95" customHeight="1" x14ac:dyDescent="0.25">
      <c r="A17" s="5" t="s">
        <v>33</v>
      </c>
      <c r="B17" s="6">
        <v>697181</v>
      </c>
      <c r="C17" s="6">
        <v>988111</v>
      </c>
      <c r="D17" s="6">
        <v>11188</v>
      </c>
      <c r="E17" s="6">
        <v>146191</v>
      </c>
      <c r="F17" s="6">
        <v>735256</v>
      </c>
    </row>
    <row r="18" spans="1:6" ht="15.95" customHeight="1" x14ac:dyDescent="0.25">
      <c r="A18" s="5" t="s">
        <v>73</v>
      </c>
      <c r="B18" s="7" t="s">
        <v>3</v>
      </c>
      <c r="C18" s="7" t="s">
        <v>3</v>
      </c>
      <c r="D18" s="7" t="s">
        <v>3</v>
      </c>
      <c r="E18" s="7" t="s">
        <v>3</v>
      </c>
      <c r="F18" s="6">
        <v>5134848</v>
      </c>
    </row>
    <row r="19" spans="1:6" ht="15.95" customHeight="1" x14ac:dyDescent="0.25">
      <c r="A19" s="5" t="s">
        <v>10</v>
      </c>
      <c r="B19" s="6">
        <v>48692</v>
      </c>
      <c r="C19" s="7">
        <v>921</v>
      </c>
      <c r="D19" s="7">
        <v>314</v>
      </c>
      <c r="E19" s="6">
        <v>2374</v>
      </c>
      <c r="F19" s="6">
        <v>61005</v>
      </c>
    </row>
    <row r="20" spans="1:6" ht="15.95" customHeight="1" thickBot="1" x14ac:dyDescent="0.3">
      <c r="A20" s="5" t="s">
        <v>71</v>
      </c>
      <c r="B20" s="6">
        <v>1383</v>
      </c>
      <c r="C20" s="7" t="s">
        <v>3</v>
      </c>
      <c r="D20" s="7" t="s">
        <v>3</v>
      </c>
      <c r="E20" s="7" t="s">
        <v>3</v>
      </c>
      <c r="F20" s="6">
        <v>16755</v>
      </c>
    </row>
    <row r="21" spans="1:6" ht="15.95" customHeight="1" thickBot="1" x14ac:dyDescent="0.3">
      <c r="A21" s="1" t="s">
        <v>12</v>
      </c>
      <c r="B21" s="10">
        <f>SUM(B14:B20)</f>
        <v>1485868</v>
      </c>
      <c r="C21" s="10">
        <f t="shared" ref="C21:E21" si="0">SUM(C14:C20)</f>
        <v>1006977</v>
      </c>
      <c r="D21" s="10">
        <f>SUM(D14:D20)</f>
        <v>11502</v>
      </c>
      <c r="E21" s="10">
        <f t="shared" si="0"/>
        <v>443968</v>
      </c>
      <c r="F21" s="10">
        <f>SUM(F14:F20)</f>
        <v>119410861</v>
      </c>
    </row>
    <row r="22" spans="1:6" ht="15.95" customHeight="1" thickBot="1" x14ac:dyDescent="0.3">
      <c r="A22" s="2" t="s">
        <v>13</v>
      </c>
      <c r="B22" s="11">
        <f>B11-B21</f>
        <v>88325118</v>
      </c>
      <c r="C22" s="11">
        <f t="shared" ref="C22:F22" si="1">C11-C21</f>
        <v>6020231</v>
      </c>
      <c r="D22" s="11">
        <f t="shared" si="1"/>
        <v>2563427</v>
      </c>
      <c r="E22" s="11">
        <f t="shared" si="1"/>
        <v>4548280</v>
      </c>
      <c r="F22" s="11">
        <f t="shared" si="1"/>
        <v>101683304</v>
      </c>
    </row>
    <row r="23" spans="1:6" ht="15.95" customHeight="1" thickTop="1" x14ac:dyDescent="0.25">
      <c r="A23" s="1"/>
      <c r="B23" s="15"/>
      <c r="C23" s="15"/>
      <c r="D23" s="15"/>
      <c r="E23" s="15"/>
      <c r="F23" s="15"/>
    </row>
    <row r="24" spans="1:6" ht="15.95" customHeight="1" x14ac:dyDescent="0.25">
      <c r="A24" s="2" t="s">
        <v>14</v>
      </c>
      <c r="B24" s="4"/>
      <c r="C24" s="4"/>
      <c r="D24" s="4"/>
      <c r="E24" s="4"/>
      <c r="F24" s="4"/>
    </row>
    <row r="25" spans="1:6" ht="15.95" customHeight="1" x14ac:dyDescent="0.25">
      <c r="A25" s="1" t="s">
        <v>15</v>
      </c>
      <c r="B25" s="18">
        <v>68906352</v>
      </c>
      <c r="C25" s="18">
        <v>7207464</v>
      </c>
      <c r="D25" s="18">
        <v>2082511</v>
      </c>
      <c r="E25" s="18">
        <v>4830641</v>
      </c>
      <c r="F25" s="18">
        <v>51856221</v>
      </c>
    </row>
    <row r="26" spans="1:6" ht="15.95" customHeight="1" thickBot="1" x14ac:dyDescent="0.3">
      <c r="A26" s="1" t="s">
        <v>16</v>
      </c>
      <c r="B26" s="18">
        <v>19418766</v>
      </c>
      <c r="C26" s="18">
        <v>-1187233</v>
      </c>
      <c r="D26" s="18">
        <v>480916</v>
      </c>
      <c r="E26" s="18">
        <v>-282361</v>
      </c>
      <c r="F26" s="18">
        <v>49827083</v>
      </c>
    </row>
    <row r="27" spans="1:6" ht="15.95" customHeight="1" thickBot="1" x14ac:dyDescent="0.3">
      <c r="A27" s="1" t="s">
        <v>17</v>
      </c>
      <c r="B27" s="11">
        <f>SUM(B25:B26)</f>
        <v>88325118</v>
      </c>
      <c r="C27" s="11">
        <f t="shared" ref="C27:F27" si="2">SUM(C25:C26)</f>
        <v>6020231</v>
      </c>
      <c r="D27" s="11">
        <f t="shared" si="2"/>
        <v>2563427</v>
      </c>
      <c r="E27" s="11">
        <f t="shared" si="2"/>
        <v>4548280</v>
      </c>
      <c r="F27" s="11">
        <f t="shared" si="2"/>
        <v>101683304</v>
      </c>
    </row>
    <row r="28" spans="1:6" ht="15.95" customHeight="1" thickTop="1" x14ac:dyDescent="0.25">
      <c r="A28" s="1"/>
      <c r="B28" s="12"/>
      <c r="C28" s="12"/>
      <c r="D28" s="12"/>
      <c r="E28" s="12"/>
      <c r="F28" s="12"/>
    </row>
    <row r="29" spans="1:6" ht="15.95" customHeight="1" x14ac:dyDescent="0.25">
      <c r="A29" s="1" t="s">
        <v>18</v>
      </c>
      <c r="B29" s="6">
        <f>B27</f>
        <v>88325118</v>
      </c>
      <c r="C29" s="6">
        <f t="shared" ref="C29:F29" si="3">C27</f>
        <v>6020231</v>
      </c>
      <c r="D29" s="6">
        <f t="shared" si="3"/>
        <v>2563427</v>
      </c>
      <c r="E29" s="6">
        <f t="shared" si="3"/>
        <v>4548280</v>
      </c>
      <c r="F29" s="6">
        <f t="shared" si="3"/>
        <v>101683304</v>
      </c>
    </row>
    <row r="30" spans="1:6" ht="15.95" customHeight="1" x14ac:dyDescent="0.25">
      <c r="A30" s="1" t="s">
        <v>49</v>
      </c>
      <c r="B30" s="6">
        <v>7195000</v>
      </c>
      <c r="C30" s="6">
        <v>690000</v>
      </c>
      <c r="D30" s="6">
        <v>115000</v>
      </c>
      <c r="E30" s="6">
        <v>175000</v>
      </c>
      <c r="F30" s="6">
        <v>880000</v>
      </c>
    </row>
    <row r="31" spans="1:6" ht="15.95" customHeight="1" x14ac:dyDescent="0.25">
      <c r="A31" s="1" t="s">
        <v>19</v>
      </c>
      <c r="B31" s="20">
        <v>12.28</v>
      </c>
      <c r="C31" s="20">
        <v>8.73</v>
      </c>
      <c r="D31" s="20">
        <v>22.29</v>
      </c>
      <c r="E31" s="20">
        <v>25.99</v>
      </c>
      <c r="F31" s="20">
        <v>115.55</v>
      </c>
    </row>
    <row r="32" spans="1:6" ht="15.95" customHeight="1" x14ac:dyDescent="0.25">
      <c r="A32" s="1"/>
      <c r="B32" s="4"/>
      <c r="C32" s="4"/>
      <c r="D32" s="4"/>
      <c r="E32" s="4"/>
      <c r="F32" s="4"/>
    </row>
    <row r="33" spans="1:6" ht="15.95" customHeight="1" x14ac:dyDescent="0.25">
      <c r="A33" s="2" t="s">
        <v>20</v>
      </c>
      <c r="B33" s="4"/>
      <c r="C33" s="4"/>
      <c r="D33" s="4"/>
      <c r="E33" s="4"/>
      <c r="F33" s="4"/>
    </row>
    <row r="34" spans="1:6" ht="15.95" customHeight="1" x14ac:dyDescent="0.25">
      <c r="A34" s="1" t="s">
        <v>21</v>
      </c>
      <c r="B34" s="6">
        <v>5166911</v>
      </c>
      <c r="C34" s="6">
        <v>28006</v>
      </c>
      <c r="D34" s="7" t="s">
        <v>3</v>
      </c>
      <c r="E34" s="6">
        <v>155691</v>
      </c>
      <c r="F34" s="6">
        <v>12725644</v>
      </c>
    </row>
    <row r="35" spans="1:6" ht="15.95" customHeight="1" x14ac:dyDescent="0.25">
      <c r="A35" s="14"/>
    </row>
    <row r="36" spans="1:6" ht="15.95" customHeight="1" x14ac:dyDescent="0.25">
      <c r="A36" s="19" t="s">
        <v>67</v>
      </c>
      <c r="B36" s="17"/>
      <c r="C36" s="17"/>
      <c r="D36" s="17"/>
      <c r="E36" s="17"/>
      <c r="F36" s="17"/>
    </row>
    <row r="37" spans="1:6" ht="15.95" customHeight="1" x14ac:dyDescent="0.25">
      <c r="A37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037D-29E7-4A37-9EBE-D507770A96EA}">
  <dimension ref="A1:F33"/>
  <sheetViews>
    <sheetView zoomScale="80" zoomScaleNormal="80" workbookViewId="0"/>
  </sheetViews>
  <sheetFormatPr defaultColWidth="8.7109375" defaultRowHeight="15.95" customHeight="1" x14ac:dyDescent="0.25"/>
  <cols>
    <col min="1" max="1" width="36.85546875" style="3" bestFit="1" customWidth="1"/>
    <col min="2" max="6" width="30.5703125" style="3" customWidth="1"/>
    <col min="7" max="16384" width="8.7109375" style="3"/>
  </cols>
  <sheetData>
    <row r="1" spans="1:6" ht="38.450000000000003" customHeight="1" x14ac:dyDescent="0.25">
      <c r="A1" s="1"/>
      <c r="B1" s="2" t="s">
        <v>65</v>
      </c>
      <c r="C1" s="2" t="s">
        <v>66</v>
      </c>
      <c r="D1" s="2" t="s">
        <v>39</v>
      </c>
      <c r="E1" s="2" t="s">
        <v>40</v>
      </c>
      <c r="F1" s="2" t="s">
        <v>41</v>
      </c>
    </row>
    <row r="2" spans="1:6" ht="15.95" customHeight="1" x14ac:dyDescent="0.25">
      <c r="A2" s="2" t="s">
        <v>0</v>
      </c>
      <c r="B2" s="4"/>
      <c r="C2" s="4"/>
      <c r="D2" s="4"/>
      <c r="E2" s="4"/>
      <c r="F2" s="4"/>
    </row>
    <row r="3" spans="1:6" ht="15.95" customHeight="1" x14ac:dyDescent="0.25">
      <c r="A3" s="5" t="s">
        <v>1</v>
      </c>
      <c r="B3" s="6">
        <v>70656</v>
      </c>
      <c r="C3" s="6">
        <v>69551</v>
      </c>
      <c r="D3" s="6">
        <v>5915803</v>
      </c>
      <c r="E3" s="6">
        <v>499376</v>
      </c>
      <c r="F3" s="6">
        <v>4169328</v>
      </c>
    </row>
    <row r="4" spans="1:6" ht="15.95" customHeight="1" x14ac:dyDescent="0.25">
      <c r="A4" s="5" t="s">
        <v>72</v>
      </c>
      <c r="B4" s="6">
        <v>553033</v>
      </c>
      <c r="C4" s="6">
        <v>1061421</v>
      </c>
      <c r="D4" s="6">
        <v>13039368</v>
      </c>
      <c r="E4" s="6">
        <v>3015813</v>
      </c>
      <c r="F4" s="6">
        <v>19784008</v>
      </c>
    </row>
    <row r="5" spans="1:6" ht="15.95" customHeight="1" x14ac:dyDescent="0.25">
      <c r="A5" s="5" t="s">
        <v>29</v>
      </c>
      <c r="B5" s="22">
        <v>0</v>
      </c>
      <c r="C5" s="22">
        <v>161887</v>
      </c>
      <c r="D5" s="22">
        <v>4009482</v>
      </c>
      <c r="E5" s="22">
        <v>794045</v>
      </c>
      <c r="F5" s="22">
        <v>7750676</v>
      </c>
    </row>
    <row r="6" spans="1:6" ht="15.95" customHeight="1" x14ac:dyDescent="0.25">
      <c r="A6" s="5" t="s">
        <v>30</v>
      </c>
      <c r="B6" s="7" t="s">
        <v>3</v>
      </c>
      <c r="C6" s="7">
        <v>790</v>
      </c>
      <c r="D6" s="23">
        <v>62074</v>
      </c>
      <c r="E6" s="23">
        <v>13320</v>
      </c>
      <c r="F6" s="25">
        <v>7808</v>
      </c>
    </row>
    <row r="7" spans="1:6" ht="15.95" customHeight="1" x14ac:dyDescent="0.25">
      <c r="A7" s="5" t="s">
        <v>4</v>
      </c>
      <c r="B7" s="7">
        <v>20</v>
      </c>
      <c r="C7" s="7">
        <v>21</v>
      </c>
      <c r="D7" s="6">
        <v>7305</v>
      </c>
      <c r="E7" s="6">
        <v>1590</v>
      </c>
      <c r="F7" s="6">
        <v>9634</v>
      </c>
    </row>
    <row r="8" spans="1:6" ht="15.95" customHeight="1" thickBot="1" x14ac:dyDescent="0.3">
      <c r="A8" s="5" t="s">
        <v>70</v>
      </c>
      <c r="B8" s="7" t="s">
        <v>3</v>
      </c>
      <c r="C8" s="7" t="s">
        <v>3</v>
      </c>
      <c r="D8" s="7">
        <v>98</v>
      </c>
      <c r="E8" s="6">
        <v>20</v>
      </c>
      <c r="F8" s="7" t="s">
        <v>3</v>
      </c>
    </row>
    <row r="9" spans="1:6" ht="15.95" customHeight="1" thickBot="1" x14ac:dyDescent="0.3">
      <c r="A9" s="1" t="s">
        <v>6</v>
      </c>
      <c r="B9" s="8">
        <f>SUM(B3:B8)</f>
        <v>623709</v>
      </c>
      <c r="C9" s="8">
        <f>SUM(C3:C8)</f>
        <v>1293670</v>
      </c>
      <c r="D9" s="8">
        <f>SUM(D3:D8)</f>
        <v>23034130</v>
      </c>
      <c r="E9" s="8">
        <f>SUM(E3:E8)</f>
        <v>4324164</v>
      </c>
      <c r="F9" s="8">
        <f>SUM(F3:F8)</f>
        <v>31721454</v>
      </c>
    </row>
    <row r="10" spans="1:6" ht="15.95" customHeight="1" x14ac:dyDescent="0.25">
      <c r="A10" s="1"/>
      <c r="B10" s="9"/>
      <c r="C10" s="9"/>
      <c r="D10" s="9"/>
      <c r="E10" s="9"/>
      <c r="F10" s="9"/>
    </row>
    <row r="11" spans="1:6" ht="15.95" customHeight="1" x14ac:dyDescent="0.25">
      <c r="A11" s="2" t="s">
        <v>7</v>
      </c>
      <c r="B11" s="4"/>
      <c r="C11" s="4"/>
      <c r="D11" s="4"/>
      <c r="E11" s="4"/>
      <c r="F11" s="4"/>
    </row>
    <row r="12" spans="1:6" ht="15.95" customHeight="1" x14ac:dyDescent="0.25">
      <c r="A12" s="5" t="s">
        <v>31</v>
      </c>
      <c r="B12" s="22">
        <v>89882</v>
      </c>
      <c r="C12" s="22">
        <v>0</v>
      </c>
      <c r="D12" s="22">
        <v>37894</v>
      </c>
      <c r="E12" s="22">
        <v>0</v>
      </c>
      <c r="F12" s="22">
        <v>0</v>
      </c>
    </row>
    <row r="13" spans="1:6" ht="15.95" customHeight="1" x14ac:dyDescent="0.25">
      <c r="A13" s="5" t="s">
        <v>32</v>
      </c>
      <c r="B13" s="7" t="s">
        <v>3</v>
      </c>
      <c r="C13" s="7" t="s">
        <v>3</v>
      </c>
      <c r="D13" s="7" t="s">
        <v>3</v>
      </c>
      <c r="E13" s="7" t="s">
        <v>3</v>
      </c>
      <c r="F13" s="6">
        <v>630605</v>
      </c>
    </row>
    <row r="14" spans="1:6" ht="15.95" customHeight="1" x14ac:dyDescent="0.25">
      <c r="A14" s="5" t="s">
        <v>33</v>
      </c>
      <c r="B14" s="6">
        <v>3645</v>
      </c>
      <c r="C14" s="23">
        <v>1861</v>
      </c>
      <c r="D14" s="6">
        <v>112280</v>
      </c>
      <c r="E14" s="6">
        <v>32769</v>
      </c>
      <c r="F14" s="25">
        <v>179696</v>
      </c>
    </row>
    <row r="15" spans="1:6" ht="15.95" customHeight="1" x14ac:dyDescent="0.25">
      <c r="A15" s="5" t="s">
        <v>10</v>
      </c>
      <c r="B15" s="7">
        <v>27</v>
      </c>
      <c r="C15" s="7">
        <v>41</v>
      </c>
      <c r="D15" s="6">
        <v>13064</v>
      </c>
      <c r="E15" s="6">
        <v>2664</v>
      </c>
      <c r="F15" s="6">
        <v>15367</v>
      </c>
    </row>
    <row r="16" spans="1:6" ht="15.95" customHeight="1" thickBot="1" x14ac:dyDescent="0.3">
      <c r="A16" s="5" t="s">
        <v>69</v>
      </c>
      <c r="B16" s="7" t="s">
        <v>3</v>
      </c>
      <c r="C16" s="7" t="s">
        <v>3</v>
      </c>
      <c r="D16" s="7" t="s">
        <v>3</v>
      </c>
      <c r="E16" s="7" t="s">
        <v>3</v>
      </c>
      <c r="F16" s="6">
        <v>91</v>
      </c>
    </row>
    <row r="17" spans="1:6" ht="15.95" customHeight="1" thickBot="1" x14ac:dyDescent="0.3">
      <c r="A17" s="1" t="s">
        <v>12</v>
      </c>
      <c r="B17" s="10">
        <f>SUM(B12:B16)</f>
        <v>93554</v>
      </c>
      <c r="C17" s="10">
        <f t="shared" ref="C17:F17" si="0">SUM(C12:C16)</f>
        <v>1902</v>
      </c>
      <c r="D17" s="10">
        <f t="shared" si="0"/>
        <v>163238</v>
      </c>
      <c r="E17" s="10">
        <f t="shared" si="0"/>
        <v>35433</v>
      </c>
      <c r="F17" s="10">
        <f t="shared" si="0"/>
        <v>825759</v>
      </c>
    </row>
    <row r="18" spans="1:6" ht="15.95" customHeight="1" thickBot="1" x14ac:dyDescent="0.3">
      <c r="A18" s="2" t="s">
        <v>13</v>
      </c>
      <c r="B18" s="11">
        <f>B9-B17</f>
        <v>530155</v>
      </c>
      <c r="C18" s="11">
        <f t="shared" ref="C18:F18" si="1">C9-C17</f>
        <v>1291768</v>
      </c>
      <c r="D18" s="11">
        <f t="shared" si="1"/>
        <v>22870892</v>
      </c>
      <c r="E18" s="11">
        <f t="shared" si="1"/>
        <v>4288731</v>
      </c>
      <c r="F18" s="11">
        <f t="shared" si="1"/>
        <v>30895695</v>
      </c>
    </row>
    <row r="19" spans="1:6" ht="15.95" customHeight="1" thickTop="1" x14ac:dyDescent="0.25">
      <c r="A19" s="1"/>
      <c r="B19" s="15"/>
      <c r="C19" s="15"/>
      <c r="D19" s="15"/>
      <c r="E19" s="15"/>
      <c r="F19" s="15"/>
    </row>
    <row r="20" spans="1:6" ht="15.95" customHeight="1" x14ac:dyDescent="0.25">
      <c r="A20" s="2" t="s">
        <v>14</v>
      </c>
      <c r="B20" s="4"/>
      <c r="C20" s="4"/>
      <c r="D20" s="4"/>
      <c r="E20" s="4"/>
      <c r="F20" s="4"/>
    </row>
    <row r="21" spans="1:6" ht="15.95" customHeight="1" x14ac:dyDescent="0.25">
      <c r="A21" s="1" t="s">
        <v>15</v>
      </c>
      <c r="B21" s="18">
        <v>623689</v>
      </c>
      <c r="C21" s="18">
        <v>1130972</v>
      </c>
      <c r="D21" s="18">
        <v>8921289</v>
      </c>
      <c r="E21" s="18">
        <v>1959479</v>
      </c>
      <c r="F21" s="18">
        <v>18096704</v>
      </c>
    </row>
    <row r="22" spans="1:6" ht="15.95" customHeight="1" thickBot="1" x14ac:dyDescent="0.3">
      <c r="A22" s="1" t="s">
        <v>16</v>
      </c>
      <c r="B22" s="18">
        <v>-93534</v>
      </c>
      <c r="C22" s="18">
        <v>160796</v>
      </c>
      <c r="D22" s="18">
        <v>13949603</v>
      </c>
      <c r="E22" s="18">
        <v>2329252</v>
      </c>
      <c r="F22" s="18">
        <v>12798991</v>
      </c>
    </row>
    <row r="23" spans="1:6" ht="15.95" customHeight="1" thickBot="1" x14ac:dyDescent="0.3">
      <c r="A23" s="1" t="s">
        <v>17</v>
      </c>
      <c r="B23" s="11">
        <f>SUM(B21:B22)</f>
        <v>530155</v>
      </c>
      <c r="C23" s="11">
        <f t="shared" ref="C23:F23" si="2">SUM(C21:C22)</f>
        <v>1291768</v>
      </c>
      <c r="D23" s="11">
        <f t="shared" si="2"/>
        <v>22870892</v>
      </c>
      <c r="E23" s="11">
        <f t="shared" si="2"/>
        <v>4288731</v>
      </c>
      <c r="F23" s="11">
        <f t="shared" si="2"/>
        <v>30895695</v>
      </c>
    </row>
    <row r="24" spans="1:6" ht="15.95" customHeight="1" thickTop="1" x14ac:dyDescent="0.25">
      <c r="A24" s="1"/>
      <c r="B24" s="12"/>
      <c r="C24" s="12"/>
      <c r="D24" s="12"/>
      <c r="E24" s="12"/>
      <c r="F24" s="12"/>
    </row>
    <row r="25" spans="1:6" ht="15.95" customHeight="1" x14ac:dyDescent="0.25">
      <c r="A25" s="1" t="s">
        <v>18</v>
      </c>
      <c r="B25" s="6">
        <f>B23</f>
        <v>530155</v>
      </c>
      <c r="C25" s="6">
        <f t="shared" ref="C25:F25" si="3">C23</f>
        <v>1291768</v>
      </c>
      <c r="D25" s="6">
        <f t="shared" si="3"/>
        <v>22870892</v>
      </c>
      <c r="E25" s="6">
        <f t="shared" si="3"/>
        <v>4288731</v>
      </c>
      <c r="F25" s="6">
        <f t="shared" si="3"/>
        <v>30895695</v>
      </c>
    </row>
    <row r="26" spans="1:6" ht="15.95" customHeight="1" x14ac:dyDescent="0.25">
      <c r="A26" s="1" t="s">
        <v>49</v>
      </c>
      <c r="B26" s="6">
        <v>45000</v>
      </c>
      <c r="C26" s="6">
        <v>70000</v>
      </c>
      <c r="D26" s="6">
        <v>990000</v>
      </c>
      <c r="E26" s="6">
        <v>235000</v>
      </c>
      <c r="F26" s="6">
        <v>735000</v>
      </c>
    </row>
    <row r="27" spans="1:6" ht="15.95" customHeight="1" x14ac:dyDescent="0.25">
      <c r="A27" s="1" t="s">
        <v>19</v>
      </c>
      <c r="B27" s="7">
        <v>11.78</v>
      </c>
      <c r="C27" s="7">
        <v>18.45</v>
      </c>
      <c r="D27" s="20">
        <v>23.1</v>
      </c>
      <c r="E27" s="7">
        <v>18.25</v>
      </c>
      <c r="F27" s="7">
        <v>42.04</v>
      </c>
    </row>
    <row r="28" spans="1:6" ht="15.95" customHeight="1" x14ac:dyDescent="0.25">
      <c r="A28" s="1"/>
      <c r="B28" s="4"/>
      <c r="C28" s="4"/>
      <c r="D28" s="4"/>
      <c r="E28" s="4"/>
      <c r="F28" s="4"/>
    </row>
    <row r="29" spans="1:6" ht="15.95" customHeight="1" x14ac:dyDescent="0.25">
      <c r="A29" s="2" t="s">
        <v>20</v>
      </c>
      <c r="B29" s="4"/>
      <c r="C29" s="4"/>
      <c r="D29" s="4"/>
      <c r="E29" s="4"/>
      <c r="F29" s="4"/>
    </row>
    <row r="30" spans="1:6" ht="15.95" customHeight="1" x14ac:dyDescent="0.25">
      <c r="A30" s="1" t="s">
        <v>21</v>
      </c>
      <c r="B30" s="6">
        <v>70656</v>
      </c>
      <c r="C30" s="6">
        <v>69551</v>
      </c>
      <c r="D30" s="6">
        <v>5915803</v>
      </c>
      <c r="E30" s="6">
        <v>499376</v>
      </c>
      <c r="F30" s="6">
        <v>4169328</v>
      </c>
    </row>
    <row r="31" spans="1:6" ht="15.95" customHeight="1" x14ac:dyDescent="0.25">
      <c r="A31" s="14"/>
    </row>
    <row r="32" spans="1:6" ht="15.95" customHeight="1" x14ac:dyDescent="0.25">
      <c r="A32" s="19" t="s">
        <v>67</v>
      </c>
    </row>
    <row r="33" spans="1:6" ht="15.95" customHeight="1" x14ac:dyDescent="0.25">
      <c r="A33" s="14"/>
      <c r="B33" s="17"/>
      <c r="C33" s="17"/>
      <c r="D33" s="17"/>
      <c r="E33" s="17"/>
      <c r="F33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982B-E514-49BD-8206-CBCB4C341385}">
  <dimension ref="A1:G35"/>
  <sheetViews>
    <sheetView zoomScale="80" zoomScaleNormal="80" workbookViewId="0"/>
  </sheetViews>
  <sheetFormatPr defaultColWidth="8.7109375" defaultRowHeight="15.95" customHeight="1" x14ac:dyDescent="0.25"/>
  <cols>
    <col min="1" max="1" width="36.85546875" style="3" bestFit="1" customWidth="1"/>
    <col min="2" max="6" width="30.5703125" style="3" customWidth="1"/>
    <col min="7" max="16384" width="8.7109375" style="3"/>
  </cols>
  <sheetData>
    <row r="1" spans="1:6" ht="38.450000000000003" customHeight="1" x14ac:dyDescent="0.25">
      <c r="A1" s="1"/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  <row r="2" spans="1:6" ht="15.95" customHeight="1" x14ac:dyDescent="0.25">
      <c r="A2" s="2" t="s">
        <v>0</v>
      </c>
      <c r="B2" s="4"/>
      <c r="C2" s="4"/>
      <c r="D2" s="4"/>
      <c r="E2" s="4"/>
      <c r="F2" s="4"/>
    </row>
    <row r="3" spans="1:6" ht="15.95" customHeight="1" x14ac:dyDescent="0.25">
      <c r="A3" s="5" t="s">
        <v>1</v>
      </c>
      <c r="B3" s="6">
        <v>3591380</v>
      </c>
      <c r="C3" s="6">
        <v>370709</v>
      </c>
      <c r="D3" s="6">
        <v>6242918</v>
      </c>
      <c r="E3" s="6">
        <v>1620616</v>
      </c>
      <c r="F3" s="6">
        <v>28102913</v>
      </c>
    </row>
    <row r="4" spans="1:6" ht="15.95" customHeight="1" x14ac:dyDescent="0.25">
      <c r="A4" s="5" t="s">
        <v>72</v>
      </c>
      <c r="B4" s="6">
        <v>29490913</v>
      </c>
      <c r="C4" s="6">
        <v>1093493</v>
      </c>
      <c r="D4" s="6">
        <v>34875693</v>
      </c>
      <c r="E4" s="6">
        <v>10312069</v>
      </c>
      <c r="F4" s="6">
        <v>163526984</v>
      </c>
    </row>
    <row r="5" spans="1:6" ht="15.95" customHeight="1" x14ac:dyDescent="0.25">
      <c r="A5" s="5" t="s">
        <v>29</v>
      </c>
      <c r="B5" s="22">
        <v>433503</v>
      </c>
      <c r="C5" s="22">
        <v>392921</v>
      </c>
      <c r="D5" s="22">
        <v>13271506</v>
      </c>
      <c r="E5" s="22">
        <v>1877269</v>
      </c>
      <c r="F5" s="22">
        <v>45759459</v>
      </c>
    </row>
    <row r="6" spans="1:6" ht="15.95" customHeight="1" x14ac:dyDescent="0.25">
      <c r="A6" s="5" t="s">
        <v>68</v>
      </c>
      <c r="B6" s="6">
        <v>6934524</v>
      </c>
      <c r="C6" s="7" t="s">
        <v>3</v>
      </c>
      <c r="D6" s="7" t="s">
        <v>3</v>
      </c>
      <c r="E6" s="7" t="s">
        <v>3</v>
      </c>
      <c r="F6" s="6">
        <v>2037530</v>
      </c>
    </row>
    <row r="7" spans="1:6" ht="15.95" customHeight="1" x14ac:dyDescent="0.25">
      <c r="A7" s="5" t="s">
        <v>30</v>
      </c>
      <c r="B7" s="7" t="s">
        <v>3</v>
      </c>
      <c r="C7" s="23">
        <v>9444</v>
      </c>
      <c r="D7" s="25">
        <v>34061</v>
      </c>
      <c r="E7" s="6">
        <v>85728</v>
      </c>
      <c r="F7" s="23">
        <v>1728697</v>
      </c>
    </row>
    <row r="8" spans="1:6" ht="15.95" customHeight="1" x14ac:dyDescent="0.25">
      <c r="A8" s="5" t="s">
        <v>4</v>
      </c>
      <c r="B8" s="6">
        <v>9262</v>
      </c>
      <c r="C8" s="7">
        <v>514</v>
      </c>
      <c r="D8" s="6">
        <v>20771</v>
      </c>
      <c r="E8" s="6">
        <v>3945</v>
      </c>
      <c r="F8" s="6">
        <v>140228</v>
      </c>
    </row>
    <row r="9" spans="1:6" ht="15.95" customHeight="1" thickBot="1" x14ac:dyDescent="0.3">
      <c r="A9" s="5" t="s">
        <v>70</v>
      </c>
      <c r="B9" s="7" t="s">
        <v>3</v>
      </c>
      <c r="C9" s="7">
        <v>1</v>
      </c>
      <c r="D9" s="7" t="s">
        <v>3</v>
      </c>
      <c r="E9" s="6">
        <v>291</v>
      </c>
      <c r="F9" s="7" t="s">
        <v>3</v>
      </c>
    </row>
    <row r="10" spans="1:6" ht="15.95" customHeight="1" thickBot="1" x14ac:dyDescent="0.3">
      <c r="A10" s="1" t="s">
        <v>6</v>
      </c>
      <c r="B10" s="8">
        <f>SUM(B3:B9)</f>
        <v>40459582</v>
      </c>
      <c r="C10" s="8">
        <f t="shared" ref="C10:F10" si="0">SUM(C3:C9)</f>
        <v>1867082</v>
      </c>
      <c r="D10" s="8">
        <f t="shared" si="0"/>
        <v>54444949</v>
      </c>
      <c r="E10" s="8">
        <f t="shared" si="0"/>
        <v>13899918</v>
      </c>
      <c r="F10" s="8">
        <f t="shared" si="0"/>
        <v>241295811</v>
      </c>
    </row>
    <row r="11" spans="1:6" ht="15.95" customHeight="1" x14ac:dyDescent="0.25">
      <c r="A11" s="1"/>
      <c r="B11" s="9"/>
      <c r="C11" s="9"/>
      <c r="D11" s="9"/>
      <c r="E11" s="9"/>
      <c r="F11" s="9"/>
    </row>
    <row r="12" spans="1:6" ht="15.95" customHeight="1" x14ac:dyDescent="0.25">
      <c r="A12" s="2" t="s">
        <v>7</v>
      </c>
      <c r="B12" s="4"/>
      <c r="C12" s="4"/>
      <c r="D12" s="4"/>
      <c r="E12" s="4"/>
      <c r="F12" s="4"/>
    </row>
    <row r="13" spans="1:6" ht="15.95" customHeight="1" x14ac:dyDescent="0.25">
      <c r="A13" s="5" t="s">
        <v>31</v>
      </c>
      <c r="B13" s="22">
        <v>170521</v>
      </c>
      <c r="C13" s="22">
        <v>0</v>
      </c>
      <c r="D13" s="22">
        <v>0</v>
      </c>
      <c r="E13" s="22">
        <v>0</v>
      </c>
      <c r="F13" s="22">
        <v>3551507</v>
      </c>
    </row>
    <row r="14" spans="1:6" ht="15.95" customHeight="1" x14ac:dyDescent="0.25">
      <c r="A14" s="5" t="s">
        <v>32</v>
      </c>
      <c r="B14" s="7" t="s">
        <v>3</v>
      </c>
      <c r="C14" s="7" t="s">
        <v>3</v>
      </c>
      <c r="D14" s="6">
        <v>2366188</v>
      </c>
      <c r="E14" s="6">
        <v>399581</v>
      </c>
      <c r="F14" s="7" t="s">
        <v>3</v>
      </c>
    </row>
    <row r="15" spans="1:6" ht="15.95" customHeight="1" x14ac:dyDescent="0.25">
      <c r="A15" s="5" t="s">
        <v>33</v>
      </c>
      <c r="B15" s="6">
        <v>945197</v>
      </c>
      <c r="C15" s="6">
        <v>8529</v>
      </c>
      <c r="D15" s="6">
        <v>849633</v>
      </c>
      <c r="E15" s="6">
        <v>44987</v>
      </c>
      <c r="F15" s="6">
        <v>4407188</v>
      </c>
    </row>
    <row r="16" spans="1:6" ht="15.95" customHeight="1" x14ac:dyDescent="0.25">
      <c r="A16" s="5" t="s">
        <v>73</v>
      </c>
      <c r="B16" s="7" t="s">
        <v>3</v>
      </c>
      <c r="C16" s="7" t="s">
        <v>3</v>
      </c>
      <c r="D16" s="6">
        <v>977585</v>
      </c>
      <c r="E16" s="7" t="s">
        <v>3</v>
      </c>
      <c r="F16" s="7" t="s">
        <v>3</v>
      </c>
    </row>
    <row r="17" spans="1:6" ht="15.95" customHeight="1" x14ac:dyDescent="0.25">
      <c r="A17" s="5" t="s">
        <v>10</v>
      </c>
      <c r="B17" s="6">
        <v>13484</v>
      </c>
      <c r="C17" s="7">
        <v>813</v>
      </c>
      <c r="D17" s="6">
        <v>32641</v>
      </c>
      <c r="E17" s="6">
        <v>6404</v>
      </c>
      <c r="F17" s="6">
        <v>170466</v>
      </c>
    </row>
    <row r="18" spans="1:6" ht="15.95" customHeight="1" thickBot="1" x14ac:dyDescent="0.3">
      <c r="A18" s="5" t="s">
        <v>69</v>
      </c>
      <c r="B18" s="6">
        <v>73</v>
      </c>
      <c r="C18" s="7" t="s">
        <v>3</v>
      </c>
      <c r="D18" s="6">
        <v>5461</v>
      </c>
      <c r="E18" s="7" t="s">
        <v>3</v>
      </c>
      <c r="F18" s="6">
        <v>245</v>
      </c>
    </row>
    <row r="19" spans="1:6" ht="15.95" customHeight="1" thickBot="1" x14ac:dyDescent="0.3">
      <c r="A19" s="1" t="s">
        <v>12</v>
      </c>
      <c r="B19" s="10">
        <f>SUM(B13:B18)</f>
        <v>1129275</v>
      </c>
      <c r="C19" s="10">
        <f t="shared" ref="C19:F19" si="1">SUM(C13:C18)</f>
        <v>9342</v>
      </c>
      <c r="D19" s="10">
        <f t="shared" si="1"/>
        <v>4231508</v>
      </c>
      <c r="E19" s="10">
        <f t="shared" si="1"/>
        <v>450972</v>
      </c>
      <c r="F19" s="10">
        <f t="shared" si="1"/>
        <v>8129406</v>
      </c>
    </row>
    <row r="20" spans="1:6" ht="15.95" customHeight="1" thickBot="1" x14ac:dyDescent="0.3">
      <c r="A20" s="2" t="s">
        <v>13</v>
      </c>
      <c r="B20" s="11">
        <f>B10-B19</f>
        <v>39330307</v>
      </c>
      <c r="C20" s="11">
        <f t="shared" ref="C20:F20" si="2">C10-C19</f>
        <v>1857740</v>
      </c>
      <c r="D20" s="11">
        <f t="shared" si="2"/>
        <v>50213441</v>
      </c>
      <c r="E20" s="11">
        <f t="shared" si="2"/>
        <v>13448946</v>
      </c>
      <c r="F20" s="11">
        <f t="shared" si="2"/>
        <v>233166405</v>
      </c>
    </row>
    <row r="21" spans="1:6" ht="15.95" customHeight="1" thickTop="1" x14ac:dyDescent="0.25">
      <c r="A21" s="1"/>
      <c r="B21" s="15"/>
      <c r="C21" s="15"/>
      <c r="D21" s="15"/>
      <c r="E21" s="15"/>
      <c r="F21" s="15"/>
    </row>
    <row r="22" spans="1:6" ht="15.95" customHeight="1" x14ac:dyDescent="0.25">
      <c r="A22" s="2" t="s">
        <v>14</v>
      </c>
      <c r="B22" s="4"/>
      <c r="C22" s="4"/>
      <c r="D22" s="4"/>
      <c r="E22" s="4"/>
      <c r="F22" s="4"/>
    </row>
    <row r="23" spans="1:6" ht="15.95" customHeight="1" x14ac:dyDescent="0.25">
      <c r="A23" s="1" t="s">
        <v>15</v>
      </c>
      <c r="B23" s="18">
        <v>41288447</v>
      </c>
      <c r="C23" s="18">
        <v>1378087</v>
      </c>
      <c r="D23" s="18">
        <v>37012582</v>
      </c>
      <c r="E23" s="18">
        <v>10021066</v>
      </c>
      <c r="F23" s="18">
        <v>147303250</v>
      </c>
    </row>
    <row r="24" spans="1:6" ht="15.95" customHeight="1" thickBot="1" x14ac:dyDescent="0.3">
      <c r="A24" s="1" t="s">
        <v>16</v>
      </c>
      <c r="B24" s="18">
        <v>-1958140</v>
      </c>
      <c r="C24" s="18">
        <v>479653</v>
      </c>
      <c r="D24" s="18">
        <v>13200859</v>
      </c>
      <c r="E24" s="18">
        <v>3427880</v>
      </c>
      <c r="F24" s="18">
        <v>85863155</v>
      </c>
    </row>
    <row r="25" spans="1:6" ht="15.95" customHeight="1" thickBot="1" x14ac:dyDescent="0.3">
      <c r="A25" s="1" t="s">
        <v>17</v>
      </c>
      <c r="B25" s="11">
        <f>SUM(B23:B24)</f>
        <v>39330307</v>
      </c>
      <c r="C25" s="11">
        <f t="shared" ref="C25:F25" si="3">SUM(C23:C24)</f>
        <v>1857740</v>
      </c>
      <c r="D25" s="11">
        <f t="shared" si="3"/>
        <v>50213441</v>
      </c>
      <c r="E25" s="11">
        <f t="shared" si="3"/>
        <v>13448946</v>
      </c>
      <c r="F25" s="11">
        <f t="shared" si="3"/>
        <v>233166405</v>
      </c>
    </row>
    <row r="26" spans="1:6" ht="15.95" customHeight="1" thickTop="1" x14ac:dyDescent="0.25">
      <c r="A26" s="1"/>
      <c r="B26" s="12"/>
      <c r="C26" s="12"/>
      <c r="D26" s="12"/>
      <c r="E26" s="12"/>
      <c r="F26" s="12"/>
    </row>
    <row r="27" spans="1:6" ht="15.95" customHeight="1" x14ac:dyDescent="0.25">
      <c r="A27" s="1" t="s">
        <v>18</v>
      </c>
      <c r="B27" s="6">
        <f>B25</f>
        <v>39330307</v>
      </c>
      <c r="C27" s="6">
        <f t="shared" ref="C27:F27" si="4">C25</f>
        <v>1857740</v>
      </c>
      <c r="D27" s="6">
        <f t="shared" si="4"/>
        <v>50213441</v>
      </c>
      <c r="E27" s="6">
        <f t="shared" si="4"/>
        <v>13448946</v>
      </c>
      <c r="F27" s="6">
        <f t="shared" si="4"/>
        <v>233166405</v>
      </c>
    </row>
    <row r="28" spans="1:6" ht="15.95" customHeight="1" x14ac:dyDescent="0.25">
      <c r="A28" s="1" t="s">
        <v>49</v>
      </c>
      <c r="B28" s="6">
        <v>2440000</v>
      </c>
      <c r="C28" s="6">
        <v>80000</v>
      </c>
      <c r="D28" s="6">
        <v>4655000</v>
      </c>
      <c r="E28" s="6">
        <v>505000</v>
      </c>
      <c r="F28" s="6">
        <v>11445000</v>
      </c>
    </row>
    <row r="29" spans="1:6" ht="15.95" customHeight="1" x14ac:dyDescent="0.25">
      <c r="A29" s="1" t="s">
        <v>19</v>
      </c>
      <c r="B29" s="7">
        <v>16.12</v>
      </c>
      <c r="C29" s="7">
        <v>23.22</v>
      </c>
      <c r="D29" s="7">
        <v>10.79</v>
      </c>
      <c r="E29" s="7">
        <v>26.63</v>
      </c>
      <c r="F29" s="7">
        <v>20.37</v>
      </c>
    </row>
    <row r="30" spans="1:6" ht="15.95" customHeight="1" x14ac:dyDescent="0.25">
      <c r="A30" s="1"/>
      <c r="B30" s="4"/>
      <c r="C30" s="4"/>
      <c r="D30" s="4"/>
      <c r="E30" s="4"/>
      <c r="F30" s="4"/>
    </row>
    <row r="31" spans="1:6" ht="15.95" customHeight="1" x14ac:dyDescent="0.25">
      <c r="A31" s="2" t="s">
        <v>20</v>
      </c>
      <c r="B31" s="4"/>
      <c r="C31" s="4"/>
      <c r="D31" s="4"/>
      <c r="E31" s="4"/>
      <c r="F31" s="4"/>
    </row>
    <row r="32" spans="1:6" ht="15.95" customHeight="1" x14ac:dyDescent="0.25">
      <c r="A32" s="1" t="s">
        <v>21</v>
      </c>
      <c r="B32" s="6">
        <v>3591380</v>
      </c>
      <c r="C32" s="6">
        <v>370709</v>
      </c>
      <c r="D32" s="6">
        <v>6242918</v>
      </c>
      <c r="E32" s="6">
        <v>1620616</v>
      </c>
      <c r="F32" s="6">
        <v>28102913</v>
      </c>
    </row>
    <row r="34" spans="1:7" ht="15.95" customHeight="1" x14ac:dyDescent="0.25">
      <c r="A34" s="19" t="s">
        <v>67</v>
      </c>
    </row>
    <row r="35" spans="1:7" ht="15.95" customHeight="1" x14ac:dyDescent="0.25">
      <c r="B35" s="17"/>
      <c r="C35" s="17"/>
      <c r="D35" s="17"/>
      <c r="E35" s="17"/>
      <c r="F35" s="17"/>
      <c r="G3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C3B9-A224-4820-8425-3E1458258F4C}">
  <dimension ref="A1:B30"/>
  <sheetViews>
    <sheetView tabSelected="1" zoomScale="80" zoomScaleNormal="80" workbookViewId="0">
      <selection activeCell="E30" sqref="E30"/>
    </sheetView>
  </sheetViews>
  <sheetFormatPr defaultColWidth="8.7109375" defaultRowHeight="15.95" customHeight="1" x14ac:dyDescent="0.25"/>
  <cols>
    <col min="1" max="1" width="28.42578125" style="3" bestFit="1" customWidth="1"/>
    <col min="2" max="3" width="30.5703125" style="3" customWidth="1"/>
    <col min="4" max="16384" width="8.7109375" style="3"/>
  </cols>
  <sheetData>
    <row r="1" spans="1:2" ht="38.450000000000003" customHeight="1" x14ac:dyDescent="0.25">
      <c r="A1" s="1"/>
      <c r="B1" s="2" t="s">
        <v>47</v>
      </c>
    </row>
    <row r="2" spans="1:2" ht="15.95" customHeight="1" x14ac:dyDescent="0.25">
      <c r="A2" s="2" t="s">
        <v>0</v>
      </c>
      <c r="B2" s="4"/>
    </row>
    <row r="3" spans="1:2" ht="15.95" customHeight="1" x14ac:dyDescent="0.25">
      <c r="A3" s="5" t="s">
        <v>1</v>
      </c>
      <c r="B3" s="6">
        <v>880829</v>
      </c>
    </row>
    <row r="4" spans="1:2" ht="15.95" customHeight="1" x14ac:dyDescent="0.25">
      <c r="A4" s="5" t="s">
        <v>72</v>
      </c>
      <c r="B4" s="6">
        <v>2651121</v>
      </c>
    </row>
    <row r="5" spans="1:2" ht="25.5" x14ac:dyDescent="0.25">
      <c r="A5" s="5" t="s">
        <v>29</v>
      </c>
      <c r="B5" s="6">
        <v>541199</v>
      </c>
    </row>
    <row r="6" spans="1:2" ht="15.95" customHeight="1" x14ac:dyDescent="0.25">
      <c r="A6" s="5" t="s">
        <v>30</v>
      </c>
      <c r="B6" s="23">
        <v>45638</v>
      </c>
    </row>
    <row r="7" spans="1:2" ht="15.95" customHeight="1" thickBot="1" x14ac:dyDescent="0.3">
      <c r="A7" s="5" t="s">
        <v>4</v>
      </c>
      <c r="B7" s="6">
        <v>2761</v>
      </c>
    </row>
    <row r="8" spans="1:2" ht="15.95" customHeight="1" thickBot="1" x14ac:dyDescent="0.3">
      <c r="A8" s="1" t="s">
        <v>6</v>
      </c>
      <c r="B8" s="8">
        <f>SUM(B3:B7)</f>
        <v>4121548</v>
      </c>
    </row>
    <row r="9" spans="1:2" ht="15.95" customHeight="1" x14ac:dyDescent="0.25">
      <c r="A9" s="1"/>
      <c r="B9" s="9"/>
    </row>
    <row r="10" spans="1:2" ht="15.95" customHeight="1" x14ac:dyDescent="0.25">
      <c r="A10" s="2" t="s">
        <v>7</v>
      </c>
      <c r="B10" s="4"/>
    </row>
    <row r="11" spans="1:2" ht="15.95" customHeight="1" x14ac:dyDescent="0.25">
      <c r="A11" s="5" t="s">
        <v>32</v>
      </c>
      <c r="B11" s="6">
        <v>339337</v>
      </c>
    </row>
    <row r="12" spans="1:2" ht="15.95" customHeight="1" x14ac:dyDescent="0.25">
      <c r="A12" s="5" t="s">
        <v>33</v>
      </c>
      <c r="B12" s="6">
        <v>46778</v>
      </c>
    </row>
    <row r="13" spans="1:2" ht="15.95" customHeight="1" x14ac:dyDescent="0.25">
      <c r="A13" s="5" t="s">
        <v>10</v>
      </c>
      <c r="B13" s="6">
        <v>2296</v>
      </c>
    </row>
    <row r="14" spans="1:2" ht="15.95" customHeight="1" thickBot="1" x14ac:dyDescent="0.3">
      <c r="A14" s="5" t="s">
        <v>69</v>
      </c>
      <c r="B14" s="6">
        <v>17</v>
      </c>
    </row>
    <row r="15" spans="1:2" ht="15.95" customHeight="1" thickBot="1" x14ac:dyDescent="0.3">
      <c r="A15" s="1" t="s">
        <v>12</v>
      </c>
      <c r="B15" s="10">
        <f>SUM(B11:B14)</f>
        <v>388428</v>
      </c>
    </row>
    <row r="16" spans="1:2" ht="15.95" customHeight="1" thickBot="1" x14ac:dyDescent="0.3">
      <c r="A16" s="2" t="s">
        <v>13</v>
      </c>
      <c r="B16" s="11">
        <f>B8-B15</f>
        <v>3733120</v>
      </c>
    </row>
    <row r="17" spans="1:2" ht="15.95" customHeight="1" thickTop="1" x14ac:dyDescent="0.25">
      <c r="A17" s="1"/>
      <c r="B17" s="15"/>
    </row>
    <row r="18" spans="1:2" ht="15.95" customHeight="1" x14ac:dyDescent="0.25">
      <c r="A18" s="2" t="s">
        <v>14</v>
      </c>
      <c r="B18" s="4"/>
    </row>
    <row r="19" spans="1:2" ht="15.95" customHeight="1" x14ac:dyDescent="0.25">
      <c r="A19" s="1" t="s">
        <v>15</v>
      </c>
      <c r="B19" s="6">
        <v>2757725</v>
      </c>
    </row>
    <row r="20" spans="1:2" ht="15.95" customHeight="1" thickBot="1" x14ac:dyDescent="0.3">
      <c r="A20" s="1" t="s">
        <v>48</v>
      </c>
      <c r="B20" s="6">
        <v>975395</v>
      </c>
    </row>
    <row r="21" spans="1:2" ht="15.95" customHeight="1" thickBot="1" x14ac:dyDescent="0.3">
      <c r="A21" s="1" t="s">
        <v>17</v>
      </c>
      <c r="B21" s="11">
        <f>SUM(B19:B20)</f>
        <v>3733120</v>
      </c>
    </row>
    <row r="22" spans="1:2" ht="15.95" customHeight="1" thickTop="1" x14ac:dyDescent="0.25">
      <c r="A22" s="1"/>
      <c r="B22" s="12"/>
    </row>
    <row r="23" spans="1:2" ht="15.95" customHeight="1" x14ac:dyDescent="0.25">
      <c r="A23" s="1" t="s">
        <v>18</v>
      </c>
      <c r="B23" s="6">
        <f>B21</f>
        <v>3733120</v>
      </c>
    </row>
    <row r="24" spans="1:2" ht="15.95" customHeight="1" x14ac:dyDescent="0.25">
      <c r="A24" s="1" t="s">
        <v>49</v>
      </c>
      <c r="B24" s="6">
        <v>165000</v>
      </c>
    </row>
    <row r="25" spans="1:2" ht="15.95" customHeight="1" x14ac:dyDescent="0.25">
      <c r="A25" s="1" t="s">
        <v>19</v>
      </c>
      <c r="B25" s="7">
        <v>22.63</v>
      </c>
    </row>
    <row r="26" spans="1:2" ht="15.95" customHeight="1" x14ac:dyDescent="0.25">
      <c r="A26" s="1"/>
      <c r="B26" s="4"/>
    </row>
    <row r="27" spans="1:2" ht="15.95" customHeight="1" x14ac:dyDescent="0.25">
      <c r="A27" s="2" t="s">
        <v>20</v>
      </c>
      <c r="B27" s="4"/>
    </row>
    <row r="28" spans="1:2" ht="15.95" customHeight="1" x14ac:dyDescent="0.25">
      <c r="A28" s="1" t="s">
        <v>21</v>
      </c>
      <c r="B28" s="6">
        <v>880829</v>
      </c>
    </row>
    <row r="30" spans="1:2" ht="15.95" customHeight="1" x14ac:dyDescent="0.25">
      <c r="A30" s="1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>U.S.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Sliga, Brandon J</dc:creator>
  <cp:lastModifiedBy>Xbrl One</cp:lastModifiedBy>
  <dcterms:created xsi:type="dcterms:W3CDTF">2025-11-21T22:49:23Z</dcterms:created>
  <dcterms:modified xsi:type="dcterms:W3CDTF">2025-12-22T09:09:59Z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2025-11-21T22:56:51Z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b26eac15-7006-4f58-baa4-c20d4cde7045</vt:lpwstr>
  </property>
  <property fmtid="{D5CDD505-2E9C-101B-9397-08002B2CF9AE}" pid="8" name="MSIP_Label_320df1db-9955-4087-a541-42c2f5a9332e_ContentBits">
    <vt:lpwstr>0</vt:lpwstr>
  </property>
  <property fmtid="{D5CDD505-2E9C-101B-9397-08002B2CF9AE}" pid="9" name="MSIP_Label_320df1db-9955-4087-a541-42c2f5a9332e_Tag">
    <vt:lpwstr>10, 3, 0, 1</vt:lpwstr>
  </property>
</Properties>
</file>