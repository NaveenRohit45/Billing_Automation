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bank-my.sharepoint.com/personal/brandon_sliga_usbank_com/Documents/Desktop/Leverage Shares/"/>
    </mc:Choice>
  </mc:AlternateContent>
  <xr:revisionPtr revIDLastSave="28" documentId="8_{2217989F-F2BC-450D-BC41-CAA3270E9D6B}" xr6:coauthVersionLast="47" xr6:coauthVersionMax="47" xr10:uidLastSave="{C742BFE2-5A5B-489C-88DE-6BDCE2616BCB}"/>
  <bookViews>
    <workbookView xWindow="-110" yWindow="-110" windowWidth="19420" windowHeight="10300" xr2:uid="{3E1E9B0F-7A34-4729-AD21-74265186B28F}"/>
  </bookViews>
  <sheets>
    <sheet name="Sheet1" sheetId="1" r:id="rId1"/>
    <sheet name="Sheet2" sheetId="17" r:id="rId2"/>
    <sheet name="Sheet3" sheetId="18" r:id="rId3"/>
    <sheet name="Sheet4" sheetId="19" r:id="rId4"/>
    <sheet name="Sheet5" sheetId="20" r:id="rId5"/>
    <sheet name="Sheet6" sheetId="21" r:id="rId6"/>
    <sheet name="Sheet7" sheetId="22" r:id="rId7"/>
    <sheet name="Sheet8" sheetId="23" r:id="rId8"/>
    <sheet name="Sheet9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4" l="1"/>
  <c r="D22" i="24"/>
  <c r="C22" i="24"/>
  <c r="B22" i="24"/>
  <c r="E12" i="24"/>
  <c r="D12" i="24"/>
  <c r="C12" i="24"/>
  <c r="B12" i="24"/>
  <c r="E7" i="24"/>
  <c r="D7" i="24"/>
  <c r="C7" i="24"/>
  <c r="B7" i="24"/>
  <c r="E22" i="23"/>
  <c r="D22" i="23"/>
  <c r="C22" i="23"/>
  <c r="B22" i="23"/>
  <c r="E12" i="23"/>
  <c r="D12" i="23"/>
  <c r="C12" i="23"/>
  <c r="B12" i="23"/>
  <c r="E7" i="23"/>
  <c r="D7" i="23"/>
  <c r="C7" i="23"/>
  <c r="B7" i="23"/>
  <c r="E22" i="22"/>
  <c r="D22" i="22"/>
  <c r="C22" i="22"/>
  <c r="B22" i="22"/>
  <c r="E12" i="22"/>
  <c r="D12" i="22"/>
  <c r="C12" i="22"/>
  <c r="B12" i="22"/>
  <c r="E7" i="22"/>
  <c r="D7" i="22"/>
  <c r="C7" i="22"/>
  <c r="B7" i="22"/>
  <c r="E22" i="21"/>
  <c r="D22" i="21"/>
  <c r="C22" i="21"/>
  <c r="B22" i="21"/>
  <c r="E12" i="21"/>
  <c r="D12" i="21"/>
  <c r="C12" i="21"/>
  <c r="B12" i="21"/>
  <c r="E7" i="21"/>
  <c r="D7" i="21"/>
  <c r="C7" i="21"/>
  <c r="B7" i="21"/>
  <c r="E22" i="20"/>
  <c r="D22" i="20"/>
  <c r="C22" i="20"/>
  <c r="B22" i="20"/>
  <c r="E12" i="20"/>
  <c r="D12" i="20"/>
  <c r="C12" i="20"/>
  <c r="B12" i="20"/>
  <c r="E7" i="20"/>
  <c r="D7" i="20"/>
  <c r="C7" i="20"/>
  <c r="B7" i="20"/>
  <c r="E22" i="19"/>
  <c r="D22" i="19"/>
  <c r="C22" i="19"/>
  <c r="B22" i="19"/>
  <c r="E12" i="19"/>
  <c r="D12" i="19"/>
  <c r="C12" i="19"/>
  <c r="B12" i="19"/>
  <c r="E7" i="19"/>
  <c r="D7" i="19"/>
  <c r="C7" i="19"/>
  <c r="B7" i="19"/>
  <c r="E22" i="18"/>
  <c r="D22" i="18"/>
  <c r="C22" i="18"/>
  <c r="B22" i="18"/>
  <c r="E12" i="18"/>
  <c r="D12" i="18"/>
  <c r="C12" i="18"/>
  <c r="B12" i="18"/>
  <c r="E7" i="18"/>
  <c r="D7" i="18"/>
  <c r="C7" i="18"/>
  <c r="B7" i="18"/>
  <c r="E23" i="17"/>
  <c r="D23" i="17"/>
  <c r="C23" i="17"/>
  <c r="B23" i="17"/>
  <c r="E13" i="24" l="1"/>
  <c r="E17" i="24" s="1"/>
  <c r="D13" i="24"/>
  <c r="D17" i="24" s="1"/>
  <c r="C13" i="24"/>
  <c r="C17" i="24" s="1"/>
  <c r="B13" i="24"/>
  <c r="B17" i="24" s="1"/>
  <c r="E13" i="23"/>
  <c r="E17" i="23" s="1"/>
  <c r="B13" i="23"/>
  <c r="B17" i="23" s="1"/>
  <c r="D13" i="23"/>
  <c r="D17" i="23" s="1"/>
  <c r="C13" i="23"/>
  <c r="C17" i="23" s="1"/>
  <c r="E13" i="22"/>
  <c r="E17" i="22" s="1"/>
  <c r="D13" i="22"/>
  <c r="D17" i="22" s="1"/>
  <c r="C13" i="22"/>
  <c r="C17" i="22" s="1"/>
  <c r="B13" i="22"/>
  <c r="B17" i="22" s="1"/>
  <c r="E13" i="21"/>
  <c r="E17" i="21" s="1"/>
  <c r="D13" i="21"/>
  <c r="D17" i="21" s="1"/>
  <c r="C13" i="21"/>
  <c r="C17" i="21" s="1"/>
  <c r="B13" i="21"/>
  <c r="B17" i="21" s="1"/>
  <c r="D13" i="20"/>
  <c r="D17" i="20" s="1"/>
  <c r="E13" i="20"/>
  <c r="E17" i="20" s="1"/>
  <c r="C13" i="20"/>
  <c r="C17" i="20" s="1"/>
  <c r="B13" i="20"/>
  <c r="B17" i="20" s="1"/>
  <c r="B13" i="19"/>
  <c r="B17" i="19" s="1"/>
  <c r="E13" i="19"/>
  <c r="E17" i="19" s="1"/>
  <c r="D13" i="19"/>
  <c r="D17" i="19" s="1"/>
  <c r="C13" i="19"/>
  <c r="C17" i="19" s="1"/>
  <c r="C13" i="18"/>
  <c r="C17" i="18" s="1"/>
  <c r="B13" i="18"/>
  <c r="B17" i="18" s="1"/>
  <c r="E13" i="18"/>
  <c r="E17" i="18" s="1"/>
  <c r="D13" i="18"/>
  <c r="D17" i="18" s="1"/>
  <c r="E13" i="17" l="1"/>
  <c r="D13" i="17"/>
  <c r="C13" i="17"/>
  <c r="B13" i="17"/>
  <c r="E7" i="17"/>
  <c r="D7" i="17"/>
  <c r="C7" i="17"/>
  <c r="B7" i="17"/>
  <c r="E21" i="1"/>
  <c r="D21" i="1"/>
  <c r="C21" i="1"/>
  <c r="B21" i="1"/>
  <c r="E12" i="1"/>
  <c r="D12" i="1"/>
  <c r="C12" i="1"/>
  <c r="B12" i="1"/>
  <c r="E7" i="1"/>
  <c r="D7" i="1"/>
  <c r="C7" i="1"/>
  <c r="B7" i="1"/>
  <c r="E14" i="17" l="1"/>
  <c r="E18" i="17" s="1"/>
  <c r="D14" i="17"/>
  <c r="D18" i="17" s="1"/>
  <c r="C14" i="17"/>
  <c r="C18" i="17" s="1"/>
  <c r="B14" i="17"/>
  <c r="B18" i="17" s="1"/>
  <c r="B13" i="1"/>
  <c r="B17" i="1" s="1"/>
  <c r="D13" i="1"/>
  <c r="D17" i="1" s="1"/>
  <c r="E13" i="1"/>
  <c r="E17" i="1" s="1"/>
  <c r="C13" i="1"/>
  <c r="C17" i="1" s="1"/>
</calcChain>
</file>

<file path=xl/sharedStrings.xml><?xml version="1.0" encoding="utf-8"?>
<sst xmlns="http://schemas.openxmlformats.org/spreadsheetml/2006/main" count="254" uniqueCount="80">
  <si>
    <t>Net change in unrealized appreciation (depreciation)</t>
  </si>
  <si>
    <t>Net realized gain (loss)</t>
  </si>
  <si>
    <t>(a) Inception date of the Fund was August 12, 2025.</t>
  </si>
  <si>
    <t>(c) Inception date of the Fund was August 20, 2025.</t>
  </si>
  <si>
    <t>(a) Inception date of the Fund was August 8, 2025.</t>
  </si>
  <si>
    <t>(d) Inception date of the Fund was April 3, 2025.</t>
  </si>
  <si>
    <t>(b) Inception date of the Fund was October 13, 2025.</t>
  </si>
  <si>
    <t>(c) Inception date of the Fund was March 20, 2025.</t>
  </si>
  <si>
    <t>(c) Inception date of the Fund was December 12, 2024.</t>
  </si>
  <si>
    <t>Period Ended October 31, 2025(a)</t>
  </si>
  <si>
    <t>OPERATIONS:</t>
  </si>
  <si>
    <t>Net investment income (loss)</t>
  </si>
  <si>
    <t>Net increase (decrease) in net assets resulting from operations</t>
  </si>
  <si>
    <t>CAPITAL TRANSACTIONS:</t>
  </si>
  <si>
    <t>Shares sold</t>
  </si>
  <si>
    <t>ETF transaction fees</t>
  </si>
  <si>
    <t>Net increase (decrease) in net assets resulting from capital transactions</t>
  </si>
  <si>
    <t xml:space="preserve">Net increase (decrease) in net assets </t>
  </si>
  <si>
    <t>NET ASSETS:</t>
  </si>
  <si>
    <t>Beginning of period</t>
  </si>
  <si>
    <t>End o f period</t>
  </si>
  <si>
    <t>SHARES TRANSACTIONS:</t>
  </si>
  <si>
    <t>Total increase (decrease) in shares outstanding</t>
  </si>
  <si>
    <t>Period Ended October 31, 2025(b)</t>
  </si>
  <si>
    <t>Period Ended October 31, 2025(c)</t>
  </si>
  <si>
    <t>Period Ended October 31, 2025(d)</t>
  </si>
  <si>
    <t>(b) Inception date of the Fund was July 10, 2025.</t>
  </si>
  <si>
    <t>(d) Inception date of the Fund was January 23, 2025.</t>
  </si>
  <si>
    <t>Shares redeemed</t>
  </si>
  <si>
    <t>(a) Inception date of the Fund was January 13, 2025.</t>
  </si>
  <si>
    <t>(b) Inception date of the Fund was May 15, 2025.</t>
  </si>
  <si>
    <t>(c) Inception date of the Fund was June 12, 2025.</t>
  </si>
  <si>
    <t>(a) Inception date of the Fund was August 20, 2025.</t>
  </si>
  <si>
    <t>(b) Inception date of the Fund was October 24, 2025.</t>
  </si>
  <si>
    <t>(c) Inception date of the Fund was August 8, 2025.</t>
  </si>
  <si>
    <t>Leverage Shares 2X Capped Accelerated COIN Monthly ETF</t>
  </si>
  <si>
    <t>Leverage Shares 2X Capped Accelerated MSTR Monthly ETF</t>
  </si>
  <si>
    <t>Leverage Shares 2X Capped Accelerated NVDA Monthly ETF</t>
  </si>
  <si>
    <t>Leverage Shares 2X Capped Accelerated PLTR Monthly ETF</t>
  </si>
  <si>
    <t>Leverage Shares 2X Capped Accelerated TSLA Monthly ETF</t>
  </si>
  <si>
    <t>Leverage Shares 2X Long AAL Daily ETF</t>
  </si>
  <si>
    <t>Leverage Shares 2X Long ADBE Daily ETF</t>
  </si>
  <si>
    <t>Leverage Shares 2X Long AMD Daily ETF</t>
  </si>
  <si>
    <t>Leverage Shares 2X Long ARM Daily ETF</t>
  </si>
  <si>
    <t>Leverage Shares 2X Long ASML Daily ETF</t>
  </si>
  <si>
    <t>Leverage Shares 2X Long AVGO Daily ETF</t>
  </si>
  <si>
    <t>Leverage Shares 2X Long BA Daily ETF</t>
  </si>
  <si>
    <t>Leverage Shares 2X Long BBAI Daily ETF</t>
  </si>
  <si>
    <t>Leverage Shares 2X Long BLSH Daily ETF</t>
  </si>
  <si>
    <t>Leverage Shares 2X Long BMNR Daily ETF</t>
  </si>
  <si>
    <t>Leverage Shares 2X Long BULL Daily ETF</t>
  </si>
  <si>
    <t>Leverage Shares 2X Long COIN Daily ETF</t>
  </si>
  <si>
    <t>Leverage Shares 2X Long COST Daily ETF</t>
  </si>
  <si>
    <t>Leverage Shares 2X Long CRCL Daily ETF</t>
  </si>
  <si>
    <t>Leverage Shares 2X Long CRM Daily ETF</t>
  </si>
  <si>
    <t>(a) Inception date of the Fund was March 13, 2025.</t>
  </si>
  <si>
    <t>(b) Inception date of the Fund was September 17, 2025.</t>
  </si>
  <si>
    <t>Leverage Shares 2X Long CRWV Daily ETF</t>
  </si>
  <si>
    <t>Leverage Shares 2X Long FIG Daily ETF</t>
  </si>
  <si>
    <t>Leverage Shares 2X Long FUTU Daily ETF</t>
  </si>
  <si>
    <t>Leverage Shares 2X Long GLXY Daily ETF</t>
  </si>
  <si>
    <t>Leverage Shares 2X Long HOOD Daily ETF</t>
  </si>
  <si>
    <t>Leverage Shares 2X Long MP Daily ETF</t>
  </si>
  <si>
    <t>Leverage Shares 2X Long NBIS Daily ETF</t>
  </si>
  <si>
    <t>Leverage Shares 2X Long NVDA Daily ETF</t>
  </si>
  <si>
    <t>(a) Inception date of the Fund was March 20, 2025.</t>
  </si>
  <si>
    <t>Leverage Shares 2X Long PANW Daily ETF</t>
  </si>
  <si>
    <t>Leverage Shares 2X Long PLTR Daily ETF</t>
  </si>
  <si>
    <t>Leverage Shares 2X Long PYPL Daily ETF</t>
  </si>
  <si>
    <t>Leverage Shares 2X Long RTX Daily ETF</t>
  </si>
  <si>
    <t>(b) Inception date of the Fund was April 24, 2025.</t>
  </si>
  <si>
    <t>(c) Inception date of the Fund was April 3, 2025.</t>
  </si>
  <si>
    <t>(d) Inception date of the Fund was June 5, 2025.</t>
  </si>
  <si>
    <t>(a) Inception date of the Fund was December 12, 2024.</t>
  </si>
  <si>
    <t>(b) Inception date of the Fund was January 13, 2025.</t>
  </si>
  <si>
    <t>(c) Inception date of the Fund was July 21, 2025.</t>
  </si>
  <si>
    <t>Leverage Shares 2X Long TSLA Daily ETF</t>
  </si>
  <si>
    <t>Leverage Shares 2X Long TSM Daily ETF</t>
  </si>
  <si>
    <t>Leverage Shares 2X Long UNH Daily ETF</t>
  </si>
  <si>
    <t>Leverage Shares 2X Long XYZ Daily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</si>
</sst>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164" fontId="2" fillId="0" borderId="0" xfId="0" applyNumberFormat="1" applyFont="1"/>
    <xf numFmtId="164" fontId="3" fillId="0" borderId="1" xfId="0" applyNumberFormat="1" applyFont="1" applyBorder="1" applyAlignment="1">
      <alignment horizontal="right" vertical="center" wrapText="1" indent="1"/>
    </xf>
    <xf numFmtId="164" fontId="4" fillId="0" borderId="0" xfId="0" applyNumberFormat="1" applyFont="1" applyAlignment="1">
      <alignment horizontal="left" vertical="center" wrapText="1" indent="1"/>
    </xf>
    <xf numFmtId="164" fontId="5" fillId="0" borderId="0" xfId="0" applyNumberFormat="1" applyFont="1"/>
    <xf numFmtId="164" fontId="4" fillId="0" borderId="0" xfId="0" applyNumberFormat="1" applyFont="1" applyAlignment="1">
      <alignment horizontal="right"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164" fontId="4" fillId="0" borderId="4" xfId="0" applyNumberFormat="1" applyFont="1" applyBorder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165" fontId="4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05D1-C371-4F9D-BED3-1290E7426F75}">
  <dimension ref="A1:F23"/>
  <sheetViews>
    <sheetView tabSelected="1" zoomScale="80" zoomScaleNormal="80" workbookViewId="0"/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35</v>
      </c>
      <c r="C1" s="2" t="s">
        <v>36</v>
      </c>
      <c r="D1" s="2" t="s">
        <v>37</v>
      </c>
      <c r="E1" s="2" t="s">
        <v>38</v>
      </c>
    </row>
    <row r="2" spans="1:5" ht="35.5" customHeight="1" thickBot="1" x14ac:dyDescent="0.4">
      <c r="A2" s="1"/>
      <c r="B2" s="1" t="s">
        <v>9</v>
      </c>
      <c r="C2" s="1" t="s">
        <v>9</v>
      </c>
      <c r="D2" s="1" t="s">
        <v>9</v>
      </c>
      <c r="E2" s="1" t="s">
        <v>9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5023</v>
      </c>
      <c r="C4" s="7">
        <v>4669</v>
      </c>
      <c r="D4" s="7">
        <v>8545</v>
      </c>
      <c r="E4" s="7">
        <v>5941</v>
      </c>
    </row>
    <row r="5" spans="1:5" ht="22" customHeight="1" x14ac:dyDescent="0.35">
      <c r="A5" s="5" t="s">
        <v>1</v>
      </c>
      <c r="B5" s="7">
        <v>113751</v>
      </c>
      <c r="C5" s="7">
        <v>-200981</v>
      </c>
      <c r="D5" s="7">
        <v>203673</v>
      </c>
      <c r="E5" s="7">
        <v>179816</v>
      </c>
    </row>
    <row r="6" spans="1:5" ht="27" customHeight="1" x14ac:dyDescent="0.35">
      <c r="A6" s="5" t="s">
        <v>0</v>
      </c>
      <c r="B6" s="7">
        <v>11</v>
      </c>
      <c r="C6" s="7">
        <v>8</v>
      </c>
      <c r="D6" s="7">
        <v>-234</v>
      </c>
      <c r="E6" s="7">
        <v>-171</v>
      </c>
    </row>
    <row r="7" spans="1:5" ht="32" customHeight="1" x14ac:dyDescent="0.35">
      <c r="A7" s="1" t="s">
        <v>12</v>
      </c>
      <c r="B7" s="8">
        <f>SUM(B4:B6)</f>
        <v>118785</v>
      </c>
      <c r="C7" s="8">
        <f>SUM(C4:C6)</f>
        <v>-196304</v>
      </c>
      <c r="D7" s="8">
        <f>SUM(D4:D6)</f>
        <v>211984</v>
      </c>
      <c r="E7" s="8">
        <f>SUM(E4:E6)</f>
        <v>185586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ht="22" customHeight="1" x14ac:dyDescent="0.35">
      <c r="A10" s="5" t="s">
        <v>14</v>
      </c>
      <c r="B10" s="7">
        <v>783984</v>
      </c>
      <c r="C10" s="7">
        <v>750666</v>
      </c>
      <c r="D10" s="7">
        <v>1375183</v>
      </c>
      <c r="E10" s="7">
        <v>903823</v>
      </c>
    </row>
    <row r="11" spans="1:5" ht="22" customHeight="1" x14ac:dyDescent="0.35">
      <c r="A11" s="5" t="s">
        <v>15</v>
      </c>
      <c r="B11" s="7">
        <v>155</v>
      </c>
      <c r="C11" s="7">
        <v>128</v>
      </c>
      <c r="D11" s="7">
        <v>570</v>
      </c>
      <c r="E11" s="7">
        <v>326</v>
      </c>
    </row>
    <row r="12" spans="1:5" ht="26" x14ac:dyDescent="0.35">
      <c r="A12" s="1" t="s">
        <v>16</v>
      </c>
      <c r="B12" s="8">
        <f>SUM(B9:B11)</f>
        <v>784139</v>
      </c>
      <c r="C12" s="8">
        <f>SUM(C9:C11)</f>
        <v>750794</v>
      </c>
      <c r="D12" s="8">
        <f>SUM(D9:D11)</f>
        <v>1375753</v>
      </c>
      <c r="E12" s="8">
        <f>SUM(E9:E11)</f>
        <v>904149</v>
      </c>
    </row>
    <row r="13" spans="1:5" ht="22" customHeight="1" x14ac:dyDescent="0.35">
      <c r="A13" s="1" t="s">
        <v>17</v>
      </c>
      <c r="B13" s="8">
        <f>B7+B12</f>
        <v>902924</v>
      </c>
      <c r="C13" s="8">
        <f t="shared" ref="C13:E13" si="0">C7+C12</f>
        <v>554490</v>
      </c>
      <c r="D13" s="8">
        <f t="shared" si="0"/>
        <v>1587737</v>
      </c>
      <c r="E13" s="8">
        <f t="shared" si="0"/>
        <v>1089735</v>
      </c>
    </row>
    <row r="14" spans="1:5" ht="22" customHeight="1" x14ac:dyDescent="0.35">
      <c r="A14" s="1"/>
      <c r="B14" s="7"/>
      <c r="C14" s="7"/>
      <c r="D14" s="7"/>
      <c r="E14" s="7"/>
    </row>
    <row r="15" spans="1:5" ht="22" customHeight="1" x14ac:dyDescent="0.35">
      <c r="A15" s="1" t="s">
        <v>18</v>
      </c>
      <c r="B15" s="7"/>
      <c r="C15" s="7"/>
      <c r="D15" s="7"/>
      <c r="E15" s="7"/>
    </row>
    <row r="16" spans="1:5" ht="22" customHeight="1" x14ac:dyDescent="0.35">
      <c r="A16" s="5" t="s">
        <v>19</v>
      </c>
      <c r="B16" s="7">
        <v>0</v>
      </c>
      <c r="C16" s="7">
        <v>0</v>
      </c>
      <c r="D16" s="7">
        <v>0</v>
      </c>
      <c r="E16" s="7">
        <v>0</v>
      </c>
    </row>
    <row r="17" spans="1:5" ht="22" customHeight="1" thickBot="1" x14ac:dyDescent="0.4">
      <c r="A17" s="5" t="s">
        <v>20</v>
      </c>
      <c r="B17" s="11">
        <f>B16+B13</f>
        <v>902924</v>
      </c>
      <c r="C17" s="11">
        <f t="shared" ref="C17:E17" si="1">C16+C13</f>
        <v>554490</v>
      </c>
      <c r="D17" s="11">
        <f t="shared" si="1"/>
        <v>1587737</v>
      </c>
      <c r="E17" s="11">
        <f t="shared" si="1"/>
        <v>1089735</v>
      </c>
    </row>
    <row r="18" spans="1:5" ht="22" customHeight="1" thickTop="1" x14ac:dyDescent="0.35">
      <c r="A18" s="1"/>
      <c r="B18" s="7"/>
      <c r="C18" s="7"/>
      <c r="D18" s="7"/>
      <c r="E18" s="7"/>
    </row>
    <row r="19" spans="1:5" ht="22" customHeight="1" x14ac:dyDescent="0.35">
      <c r="A19" s="1" t="s">
        <v>21</v>
      </c>
      <c r="B19" s="7"/>
      <c r="C19" s="7"/>
      <c r="D19" s="7"/>
      <c r="E19" s="7"/>
    </row>
    <row r="20" spans="1:5" ht="22" customHeight="1" x14ac:dyDescent="0.35">
      <c r="A20" s="5" t="s">
        <v>14</v>
      </c>
      <c r="B20" s="7">
        <v>40000</v>
      </c>
      <c r="C20" s="7">
        <v>40000</v>
      </c>
      <c r="D20" s="7">
        <v>70000</v>
      </c>
      <c r="E20" s="7">
        <v>50000</v>
      </c>
    </row>
    <row r="21" spans="1:5" ht="27.5" customHeight="1" thickBot="1" x14ac:dyDescent="0.4">
      <c r="A21" s="1" t="s">
        <v>22</v>
      </c>
      <c r="B21" s="9">
        <f>B20</f>
        <v>40000</v>
      </c>
      <c r="C21" s="9">
        <f>C20</f>
        <v>40000</v>
      </c>
      <c r="D21" s="9">
        <f>D20</f>
        <v>70000</v>
      </c>
      <c r="E21" s="9">
        <f>E20</f>
        <v>50000</v>
      </c>
    </row>
    <row r="22" spans="1:5" ht="22" customHeight="1" thickTop="1" x14ac:dyDescent="0.35">
      <c r="A22" s="1"/>
      <c r="B22" s="7"/>
      <c r="C22" s="7"/>
      <c r="D22" s="7"/>
      <c r="E22" s="7"/>
    </row>
    <row r="23" spans="1:5" ht="22" customHeight="1" x14ac:dyDescent="0.35">
      <c r="A23" s="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238E-BF5E-42C9-9C79-5B2AD5A9ED9B}">
  <dimension ref="A1:F28"/>
  <sheetViews>
    <sheetView zoomScale="80" zoomScaleNormal="80" workbookViewId="0">
      <selection activeCell="F6" sqref="F6"/>
    </sheetView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39</v>
      </c>
      <c r="C1" s="2" t="s">
        <v>40</v>
      </c>
      <c r="D1" s="2" t="s">
        <v>41</v>
      </c>
      <c r="E1" s="2" t="s">
        <v>42</v>
      </c>
    </row>
    <row r="2" spans="1:5" ht="35.5" customHeight="1" thickBot="1" x14ac:dyDescent="0.4">
      <c r="A2" s="1"/>
      <c r="B2" s="1" t="s">
        <v>9</v>
      </c>
      <c r="C2" s="1" t="s">
        <v>23</v>
      </c>
      <c r="D2" s="1" t="s">
        <v>24</v>
      </c>
      <c r="E2" s="1" t="s">
        <v>25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8012</v>
      </c>
      <c r="C4" s="7">
        <v>-808</v>
      </c>
      <c r="D4" s="7">
        <v>-14588</v>
      </c>
      <c r="E4" s="7">
        <v>-9727</v>
      </c>
    </row>
    <row r="5" spans="1:5" ht="22" customHeight="1" x14ac:dyDescent="0.35">
      <c r="A5" s="5" t="s">
        <v>1</v>
      </c>
      <c r="B5" s="7">
        <v>224374</v>
      </c>
      <c r="C5" s="7">
        <v>48259</v>
      </c>
      <c r="D5" s="7">
        <v>-2224910</v>
      </c>
      <c r="E5" s="7">
        <v>10715554</v>
      </c>
    </row>
    <row r="6" spans="1:5" ht="27" customHeight="1" x14ac:dyDescent="0.35">
      <c r="A6" s="5" t="s">
        <v>0</v>
      </c>
      <c r="B6" s="7">
        <v>116</v>
      </c>
      <c r="C6" s="7">
        <v>189360</v>
      </c>
      <c r="D6" s="7">
        <v>-208745</v>
      </c>
      <c r="E6" s="7">
        <v>5816767</v>
      </c>
    </row>
    <row r="7" spans="1:5" ht="32" customHeight="1" x14ac:dyDescent="0.35">
      <c r="A7" s="1" t="s">
        <v>12</v>
      </c>
      <c r="B7" s="8">
        <f>SUM(B4:B6)</f>
        <v>232502</v>
      </c>
      <c r="C7" s="8">
        <f>SUM(C4:C6)</f>
        <v>236811</v>
      </c>
      <c r="D7" s="8">
        <f>SUM(D4:D6)</f>
        <v>-2448243</v>
      </c>
      <c r="E7" s="8">
        <f>SUM(E4:E6)</f>
        <v>16522594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customFormat="1" ht="22" customHeight="1" x14ac:dyDescent="0.35">
      <c r="A10" s="5" t="s">
        <v>14</v>
      </c>
      <c r="B10" s="7">
        <v>1162853</v>
      </c>
      <c r="C10" s="7">
        <v>1886200</v>
      </c>
      <c r="D10" s="7">
        <v>50770629</v>
      </c>
      <c r="E10" s="7">
        <v>71824900</v>
      </c>
    </row>
    <row r="11" spans="1:5" customFormat="1" ht="22" customHeight="1" x14ac:dyDescent="0.35">
      <c r="A11" s="5" t="s">
        <v>28</v>
      </c>
      <c r="B11" s="7">
        <v>0</v>
      </c>
      <c r="C11" s="7">
        <v>-1225422</v>
      </c>
      <c r="D11" s="7">
        <v>-16419448</v>
      </c>
      <c r="E11" s="7">
        <v>-60877205</v>
      </c>
    </row>
    <row r="12" spans="1:5" customFormat="1" ht="22" customHeight="1" x14ac:dyDescent="0.35">
      <c r="A12" s="5" t="s">
        <v>15</v>
      </c>
      <c r="B12" s="7">
        <v>289</v>
      </c>
      <c r="C12" s="7">
        <v>0</v>
      </c>
      <c r="D12" s="7">
        <v>0</v>
      </c>
      <c r="E12" s="7">
        <v>0</v>
      </c>
    </row>
    <row r="13" spans="1:5" customFormat="1" ht="26" x14ac:dyDescent="0.35">
      <c r="A13" s="1" t="s">
        <v>16</v>
      </c>
      <c r="B13" s="8">
        <f>SUM(B9:B12)</f>
        <v>1163142</v>
      </c>
      <c r="C13" s="8">
        <f>SUM(C9:C12)</f>
        <v>660778</v>
      </c>
      <c r="D13" s="8">
        <f>SUM(D9:D12)</f>
        <v>34351181</v>
      </c>
      <c r="E13" s="8">
        <f>SUM(E9:E12)</f>
        <v>10947695</v>
      </c>
    </row>
    <row r="14" spans="1:5" customFormat="1" ht="22" customHeight="1" x14ac:dyDescent="0.35">
      <c r="A14" s="1" t="s">
        <v>17</v>
      </c>
      <c r="B14" s="8">
        <f>B7+B13</f>
        <v>1395644</v>
      </c>
      <c r="C14" s="8">
        <f t="shared" ref="C14:E14" si="0">C7+C13</f>
        <v>897589</v>
      </c>
      <c r="D14" s="8">
        <f t="shared" si="0"/>
        <v>31902938</v>
      </c>
      <c r="E14" s="8">
        <f t="shared" si="0"/>
        <v>27470289</v>
      </c>
    </row>
    <row r="15" spans="1:5" customFormat="1" ht="22" customHeight="1" x14ac:dyDescent="0.35">
      <c r="A15" s="1"/>
      <c r="B15" s="7"/>
      <c r="C15" s="7"/>
      <c r="D15" s="7"/>
      <c r="E15" s="7"/>
    </row>
    <row r="16" spans="1:5" customFormat="1" ht="22" customHeight="1" x14ac:dyDescent="0.35">
      <c r="A16" s="1" t="s">
        <v>18</v>
      </c>
      <c r="B16" s="7"/>
      <c r="C16" s="7"/>
      <c r="D16" s="7"/>
      <c r="E16" s="7"/>
    </row>
    <row r="17" spans="1:5" customFormat="1" ht="22" customHeight="1" x14ac:dyDescent="0.35">
      <c r="A17" s="5" t="s">
        <v>19</v>
      </c>
      <c r="B17" s="7">
        <v>0</v>
      </c>
      <c r="C17" s="7">
        <v>0</v>
      </c>
      <c r="D17" s="7">
        <v>0</v>
      </c>
      <c r="E17" s="7">
        <v>0</v>
      </c>
    </row>
    <row r="18" spans="1:5" customFormat="1" ht="22" customHeight="1" thickBot="1" x14ac:dyDescent="0.4">
      <c r="A18" s="5" t="s">
        <v>20</v>
      </c>
      <c r="B18" s="11">
        <f>B17+B14</f>
        <v>1395644</v>
      </c>
      <c r="C18" s="11">
        <f t="shared" ref="C18:E18" si="1">C17+C14</f>
        <v>897589</v>
      </c>
      <c r="D18" s="11">
        <f t="shared" si="1"/>
        <v>31902938</v>
      </c>
      <c r="E18" s="11">
        <f t="shared" si="1"/>
        <v>27470289</v>
      </c>
    </row>
    <row r="19" spans="1:5" customFormat="1" ht="22" customHeight="1" thickTop="1" x14ac:dyDescent="0.35">
      <c r="A19" s="1"/>
      <c r="B19" s="7"/>
      <c r="C19" s="7"/>
      <c r="D19" s="7"/>
      <c r="E19" s="7"/>
    </row>
    <row r="20" spans="1:5" customFormat="1" ht="22" customHeight="1" x14ac:dyDescent="0.35">
      <c r="A20" s="1" t="s">
        <v>21</v>
      </c>
      <c r="B20" s="7"/>
      <c r="C20" s="7"/>
      <c r="D20" s="7"/>
      <c r="E20" s="7"/>
    </row>
    <row r="21" spans="1:5" customFormat="1" ht="22" customHeight="1" x14ac:dyDescent="0.35">
      <c r="A21" s="5" t="s">
        <v>14</v>
      </c>
      <c r="B21" s="7">
        <v>60000</v>
      </c>
      <c r="C21" s="7">
        <v>160000</v>
      </c>
      <c r="D21" s="7">
        <v>4645000</v>
      </c>
      <c r="E21" s="7">
        <v>2470000</v>
      </c>
    </row>
    <row r="22" spans="1:5" customFormat="1" ht="22" customHeight="1" x14ac:dyDescent="0.35">
      <c r="A22" s="5" t="s">
        <v>28</v>
      </c>
      <c r="B22" s="7">
        <v>0</v>
      </c>
      <c r="C22" s="7">
        <v>-95000</v>
      </c>
      <c r="D22" s="7">
        <v>-1440000</v>
      </c>
      <c r="E22" s="7">
        <v>-1860000</v>
      </c>
    </row>
    <row r="23" spans="1:5" customFormat="1" ht="27.5" customHeight="1" thickBot="1" x14ac:dyDescent="0.4">
      <c r="A23" s="1" t="s">
        <v>22</v>
      </c>
      <c r="B23" s="9">
        <f>SUM(B21:B22)</f>
        <v>60000</v>
      </c>
      <c r="C23" s="9">
        <f>SUM(C21:C22)</f>
        <v>65000</v>
      </c>
      <c r="D23" s="9">
        <f>SUM(D21:D22)</f>
        <v>3205000</v>
      </c>
      <c r="E23" s="9">
        <f>SUM(E21:E22)</f>
        <v>610000</v>
      </c>
    </row>
    <row r="24" spans="1:5" customFormat="1" ht="22" customHeight="1" thickTop="1" x14ac:dyDescent="0.35">
      <c r="A24" s="1"/>
      <c r="B24" s="7"/>
      <c r="C24" s="7"/>
      <c r="D24" s="7"/>
      <c r="E24" s="7"/>
    </row>
    <row r="25" spans="1:5" customFormat="1" ht="22" customHeight="1" x14ac:dyDescent="0.35">
      <c r="A25" s="6" t="s">
        <v>2</v>
      </c>
      <c r="B25" s="3"/>
      <c r="C25" s="3"/>
      <c r="D25" s="3"/>
      <c r="E25" s="3"/>
    </row>
    <row r="26" spans="1:5" ht="22" customHeight="1" x14ac:dyDescent="0.35">
      <c r="A26" s="6" t="s">
        <v>26</v>
      </c>
    </row>
    <row r="27" spans="1:5" ht="22" customHeight="1" x14ac:dyDescent="0.35">
      <c r="A27" s="6" t="s">
        <v>7</v>
      </c>
    </row>
    <row r="28" spans="1:5" ht="22" customHeight="1" x14ac:dyDescent="0.35">
      <c r="A28" s="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6BA9-B920-4452-9672-78A72DD115C9}">
  <dimension ref="A1:F26"/>
  <sheetViews>
    <sheetView zoomScale="80" zoomScaleNormal="80" workbookViewId="0">
      <selection activeCell="D4" sqref="D4"/>
    </sheetView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43</v>
      </c>
      <c r="C1" s="2" t="s">
        <v>44</v>
      </c>
      <c r="D1" s="2" t="s">
        <v>45</v>
      </c>
      <c r="E1" s="2" t="s">
        <v>46</v>
      </c>
    </row>
    <row r="2" spans="1:5" ht="35.5" customHeight="1" thickBot="1" x14ac:dyDescent="0.4">
      <c r="A2" s="1"/>
      <c r="B2" s="1" t="s">
        <v>9</v>
      </c>
      <c r="C2" s="1" t="s">
        <v>9</v>
      </c>
      <c r="D2" s="1" t="s">
        <v>23</v>
      </c>
      <c r="E2" s="1" t="s">
        <v>24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-19673</v>
      </c>
      <c r="C4" s="7">
        <v>-26807</v>
      </c>
      <c r="D4" s="7">
        <v>-7488</v>
      </c>
      <c r="E4" s="7">
        <v>-416</v>
      </c>
    </row>
    <row r="5" spans="1:5" ht="22" customHeight="1" x14ac:dyDescent="0.35">
      <c r="A5" s="5" t="s">
        <v>1</v>
      </c>
      <c r="B5" s="7">
        <v>532655</v>
      </c>
      <c r="C5" s="7">
        <v>8989003</v>
      </c>
      <c r="D5" s="7">
        <v>861500</v>
      </c>
      <c r="E5" s="7">
        <v>-230096</v>
      </c>
    </row>
    <row r="6" spans="1:5" ht="27" customHeight="1" x14ac:dyDescent="0.35">
      <c r="A6" s="5" t="s">
        <v>0</v>
      </c>
      <c r="B6" s="7">
        <v>1801851</v>
      </c>
      <c r="C6" s="7">
        <v>2433497</v>
      </c>
      <c r="D6" s="7">
        <v>3441329</v>
      </c>
      <c r="E6" s="7">
        <v>-293238</v>
      </c>
    </row>
    <row r="7" spans="1:5" ht="32" customHeight="1" x14ac:dyDescent="0.35">
      <c r="A7" s="1" t="s">
        <v>12</v>
      </c>
      <c r="B7" s="8">
        <f>SUM(B4:B6)</f>
        <v>2314833</v>
      </c>
      <c r="C7" s="8">
        <f>SUM(C4:C6)</f>
        <v>11395693</v>
      </c>
      <c r="D7" s="8">
        <f>SUM(D4:D6)</f>
        <v>4295341</v>
      </c>
      <c r="E7" s="8">
        <f>SUM(E4:E6)</f>
        <v>-523750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customFormat="1" ht="22" customHeight="1" x14ac:dyDescent="0.35">
      <c r="A10" s="5" t="s">
        <v>14</v>
      </c>
      <c r="B10" s="7">
        <v>32368476</v>
      </c>
      <c r="C10" s="7">
        <v>73091834</v>
      </c>
      <c r="D10" s="7">
        <v>15758256</v>
      </c>
      <c r="E10" s="7">
        <v>3275904</v>
      </c>
    </row>
    <row r="11" spans="1:5" customFormat="1" ht="22" customHeight="1" x14ac:dyDescent="0.35">
      <c r="A11" s="5" t="s">
        <v>28</v>
      </c>
      <c r="B11" s="7">
        <v>-15176112</v>
      </c>
      <c r="C11" s="7">
        <v>-70879592</v>
      </c>
      <c r="D11" s="7">
        <v>-5091433</v>
      </c>
      <c r="E11" s="7">
        <v>-397315</v>
      </c>
    </row>
    <row r="12" spans="1:5" customFormat="1" ht="26" x14ac:dyDescent="0.35">
      <c r="A12" s="1" t="s">
        <v>16</v>
      </c>
      <c r="B12" s="8">
        <f>SUM(B9:B11)</f>
        <v>17192364</v>
      </c>
      <c r="C12" s="8">
        <f>SUM(C9:C11)</f>
        <v>2212242</v>
      </c>
      <c r="D12" s="8">
        <f>SUM(D9:D11)</f>
        <v>10666823</v>
      </c>
      <c r="E12" s="8">
        <f>SUM(E9:E11)</f>
        <v>2878589</v>
      </c>
    </row>
    <row r="13" spans="1:5" customFormat="1" ht="22" customHeight="1" x14ac:dyDescent="0.35">
      <c r="A13" s="1" t="s">
        <v>17</v>
      </c>
      <c r="B13" s="8">
        <f>B7+B12</f>
        <v>19507197</v>
      </c>
      <c r="C13" s="8">
        <f>C7+C12</f>
        <v>13607935</v>
      </c>
      <c r="D13" s="8">
        <f>D7+D12</f>
        <v>14962164</v>
      </c>
      <c r="E13" s="8">
        <f>E7+E12</f>
        <v>2354839</v>
      </c>
    </row>
    <row r="14" spans="1:5" customFormat="1" ht="22" customHeight="1" x14ac:dyDescent="0.35">
      <c r="A14" s="1"/>
      <c r="B14" s="7"/>
      <c r="C14" s="7"/>
      <c r="D14" s="7"/>
      <c r="E14" s="7"/>
    </row>
    <row r="15" spans="1:5" customFormat="1" ht="22" customHeight="1" x14ac:dyDescent="0.35">
      <c r="A15" s="1" t="s">
        <v>18</v>
      </c>
      <c r="B15" s="7"/>
      <c r="C15" s="7"/>
      <c r="D15" s="7"/>
      <c r="E15" s="7"/>
    </row>
    <row r="16" spans="1:5" customFormat="1" ht="22" customHeight="1" x14ac:dyDescent="0.35">
      <c r="A16" s="5" t="s">
        <v>19</v>
      </c>
      <c r="B16" s="7">
        <v>0</v>
      </c>
      <c r="C16" s="7">
        <v>0</v>
      </c>
      <c r="D16" s="7">
        <v>0</v>
      </c>
      <c r="E16" s="7">
        <v>0</v>
      </c>
    </row>
    <row r="17" spans="1:5" customFormat="1" ht="22" customHeight="1" thickBot="1" x14ac:dyDescent="0.4">
      <c r="A17" s="5" t="s">
        <v>20</v>
      </c>
      <c r="B17" s="11">
        <f>B16+B13</f>
        <v>19507197</v>
      </c>
      <c r="C17" s="11">
        <f t="shared" ref="C17:E17" si="0">C16+C13</f>
        <v>13607935</v>
      </c>
      <c r="D17" s="11">
        <f t="shared" si="0"/>
        <v>14962164</v>
      </c>
      <c r="E17" s="11">
        <f t="shared" si="0"/>
        <v>2354839</v>
      </c>
    </row>
    <row r="18" spans="1:5" customFormat="1" ht="22" customHeight="1" thickTop="1" x14ac:dyDescent="0.35">
      <c r="A18" s="1"/>
      <c r="B18" s="7"/>
      <c r="C18" s="7"/>
      <c r="D18" s="7"/>
      <c r="E18" s="7"/>
    </row>
    <row r="19" spans="1:5" customFormat="1" ht="22" customHeight="1" x14ac:dyDescent="0.35">
      <c r="A19" s="1" t="s">
        <v>21</v>
      </c>
      <c r="B19" s="7"/>
      <c r="C19" s="7"/>
      <c r="D19" s="7"/>
      <c r="E19" s="7"/>
    </row>
    <row r="20" spans="1:5" customFormat="1" ht="22" customHeight="1" x14ac:dyDescent="0.35">
      <c r="A20" s="5" t="s">
        <v>14</v>
      </c>
      <c r="B20" s="7">
        <v>2500000</v>
      </c>
      <c r="C20" s="7">
        <v>4650000</v>
      </c>
      <c r="D20" s="7">
        <v>650000</v>
      </c>
      <c r="E20" s="7">
        <v>200000</v>
      </c>
    </row>
    <row r="21" spans="1:5" customFormat="1" ht="22" customHeight="1" x14ac:dyDescent="0.35">
      <c r="A21" s="5" t="s">
        <v>28</v>
      </c>
      <c r="B21" s="7">
        <v>-1205000</v>
      </c>
      <c r="C21" s="7">
        <v>-4120000</v>
      </c>
      <c r="D21" s="7">
        <v>-205000</v>
      </c>
      <c r="E21" s="7">
        <v>-25000</v>
      </c>
    </row>
    <row r="22" spans="1:5" customFormat="1" ht="27.5" customHeight="1" thickBot="1" x14ac:dyDescent="0.4">
      <c r="A22" s="1" t="s">
        <v>22</v>
      </c>
      <c r="B22" s="9">
        <f>SUM(B20:B21)</f>
        <v>1295000</v>
      </c>
      <c r="C22" s="9">
        <f>SUM(C20:C21)</f>
        <v>530000</v>
      </c>
      <c r="D22" s="9">
        <f>SUM(D20:D21)</f>
        <v>445000</v>
      </c>
      <c r="E22" s="9">
        <f>SUM(E20:E21)</f>
        <v>175000</v>
      </c>
    </row>
    <row r="23" spans="1:5" customFormat="1" ht="22" customHeight="1" thickTop="1" x14ac:dyDescent="0.35">
      <c r="A23" s="1"/>
      <c r="B23" s="7"/>
      <c r="C23" s="7"/>
      <c r="D23" s="7"/>
      <c r="E23" s="7"/>
    </row>
    <row r="24" spans="1:5" customFormat="1" ht="22" customHeight="1" x14ac:dyDescent="0.35">
      <c r="A24" s="6" t="s">
        <v>29</v>
      </c>
      <c r="B24" s="3"/>
      <c r="C24" s="3"/>
      <c r="D24" s="3"/>
      <c r="E24" s="3"/>
    </row>
    <row r="25" spans="1:5" customFormat="1" ht="22" customHeight="1" x14ac:dyDescent="0.35">
      <c r="A25" s="6" t="s">
        <v>30</v>
      </c>
      <c r="B25" s="3"/>
      <c r="C25" s="3"/>
      <c r="D25" s="3"/>
      <c r="E25" s="3"/>
    </row>
    <row r="26" spans="1:5" customFormat="1" ht="22" customHeight="1" x14ac:dyDescent="0.35">
      <c r="A26" s="6" t="s">
        <v>31</v>
      </c>
      <c r="B26" s="3"/>
      <c r="C26" s="3"/>
      <c r="D26" s="3"/>
      <c r="E2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8E5B-6A56-4935-A9DC-35A979192088}">
  <dimension ref="A1:F26"/>
  <sheetViews>
    <sheetView zoomScale="80" zoomScaleNormal="80" workbookViewId="0"/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47</v>
      </c>
      <c r="C1" s="2" t="s">
        <v>48</v>
      </c>
      <c r="D1" s="2" t="s">
        <v>49</v>
      </c>
      <c r="E1" s="2" t="s">
        <v>50</v>
      </c>
    </row>
    <row r="2" spans="1:5" ht="35.5" customHeight="1" thickBot="1" x14ac:dyDescent="0.4">
      <c r="A2" s="1"/>
      <c r="B2" s="1" t="s">
        <v>9</v>
      </c>
      <c r="C2" s="1" t="s">
        <v>23</v>
      </c>
      <c r="D2" s="1" t="s">
        <v>23</v>
      </c>
      <c r="E2" s="1" t="s">
        <v>24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-14299</v>
      </c>
      <c r="C4" s="7">
        <v>8</v>
      </c>
      <c r="D4" s="7">
        <v>-7</v>
      </c>
      <c r="E4" s="7">
        <v>-5740</v>
      </c>
    </row>
    <row r="5" spans="1:5" ht="22" customHeight="1" x14ac:dyDescent="0.35">
      <c r="A5" s="5" t="s">
        <v>1</v>
      </c>
      <c r="B5" s="7">
        <v>1035421</v>
      </c>
      <c r="C5" s="7">
        <v>-835</v>
      </c>
      <c r="D5" s="7">
        <v>-89196</v>
      </c>
      <c r="E5" s="7">
        <v>-5140562</v>
      </c>
    </row>
    <row r="6" spans="1:5" ht="27" customHeight="1" x14ac:dyDescent="0.35">
      <c r="A6" s="5" t="s">
        <v>0</v>
      </c>
      <c r="B6" s="7">
        <v>1118992</v>
      </c>
      <c r="C6" s="7">
        <v>-52412</v>
      </c>
      <c r="D6" s="7">
        <v>26950</v>
      </c>
      <c r="E6" s="7">
        <v>-553386</v>
      </c>
    </row>
    <row r="7" spans="1:5" ht="32" customHeight="1" x14ac:dyDescent="0.35">
      <c r="A7" s="1" t="s">
        <v>12</v>
      </c>
      <c r="B7" s="8">
        <f>SUM(B4:B6)</f>
        <v>2140114</v>
      </c>
      <c r="C7" s="8">
        <f>SUM(C4:C6)</f>
        <v>-53239</v>
      </c>
      <c r="D7" s="8">
        <f>SUM(D4:D6)</f>
        <v>-62253</v>
      </c>
      <c r="E7" s="8">
        <f>SUM(E4:E6)</f>
        <v>-5699688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customFormat="1" ht="22" customHeight="1" x14ac:dyDescent="0.35">
      <c r="A10" s="5" t="s">
        <v>14</v>
      </c>
      <c r="B10" s="7">
        <v>31294818</v>
      </c>
      <c r="C10" s="7">
        <v>578327</v>
      </c>
      <c r="D10" s="7">
        <v>750564</v>
      </c>
      <c r="E10" s="7">
        <v>25397276</v>
      </c>
    </row>
    <row r="11" spans="1:5" customFormat="1" ht="22" customHeight="1" x14ac:dyDescent="0.35">
      <c r="A11" s="5" t="s">
        <v>28</v>
      </c>
      <c r="B11" s="7">
        <v>-10250902</v>
      </c>
      <c r="C11" s="7">
        <v>-266433</v>
      </c>
      <c r="D11" s="7">
        <v>-312970</v>
      </c>
      <c r="E11" s="7">
        <v>-2357854</v>
      </c>
    </row>
    <row r="12" spans="1:5" customFormat="1" ht="26" x14ac:dyDescent="0.35">
      <c r="A12" s="1" t="s">
        <v>16</v>
      </c>
      <c r="B12" s="8">
        <f>SUM(B9:B11)</f>
        <v>21043916</v>
      </c>
      <c r="C12" s="8">
        <f>SUM(C9:C11)</f>
        <v>311894</v>
      </c>
      <c r="D12" s="8">
        <f>SUM(D9:D11)</f>
        <v>437594</v>
      </c>
      <c r="E12" s="8">
        <f>SUM(E9:E11)</f>
        <v>23039422</v>
      </c>
    </row>
    <row r="13" spans="1:5" customFormat="1" ht="22" customHeight="1" x14ac:dyDescent="0.35">
      <c r="A13" s="1" t="s">
        <v>17</v>
      </c>
      <c r="B13" s="8">
        <f>B7+B12</f>
        <v>23184030</v>
      </c>
      <c r="C13" s="8">
        <f>C7+C12</f>
        <v>258655</v>
      </c>
      <c r="D13" s="8">
        <f>D7+D12</f>
        <v>375341</v>
      </c>
      <c r="E13" s="8">
        <f>E7+E12</f>
        <v>17339734</v>
      </c>
    </row>
    <row r="14" spans="1:5" customFormat="1" ht="22" customHeight="1" x14ac:dyDescent="0.35">
      <c r="A14" s="1"/>
      <c r="B14" s="7"/>
      <c r="C14" s="7"/>
      <c r="D14" s="7"/>
      <c r="E14" s="7"/>
    </row>
    <row r="15" spans="1:5" customFormat="1" ht="22" customHeight="1" x14ac:dyDescent="0.35">
      <c r="A15" s="1" t="s">
        <v>18</v>
      </c>
      <c r="B15" s="7"/>
      <c r="C15" s="7"/>
      <c r="D15" s="7"/>
      <c r="E15" s="7"/>
    </row>
    <row r="16" spans="1:5" customFormat="1" ht="22" customHeight="1" x14ac:dyDescent="0.35">
      <c r="A16" s="5" t="s">
        <v>19</v>
      </c>
      <c r="B16" s="7">
        <v>0</v>
      </c>
      <c r="C16" s="7">
        <v>0</v>
      </c>
      <c r="D16" s="7">
        <v>0</v>
      </c>
      <c r="E16" s="7">
        <v>0</v>
      </c>
    </row>
    <row r="17" spans="1:5" customFormat="1" ht="22" customHeight="1" thickBot="1" x14ac:dyDescent="0.4">
      <c r="A17" s="5" t="s">
        <v>20</v>
      </c>
      <c r="B17" s="11">
        <f>B16+B13</f>
        <v>23184030</v>
      </c>
      <c r="C17" s="11">
        <f t="shared" ref="C17:E17" si="0">C16+C13</f>
        <v>258655</v>
      </c>
      <c r="D17" s="11">
        <f t="shared" si="0"/>
        <v>375341</v>
      </c>
      <c r="E17" s="11">
        <f t="shared" si="0"/>
        <v>17339734</v>
      </c>
    </row>
    <row r="18" spans="1:5" customFormat="1" ht="22" customHeight="1" thickTop="1" x14ac:dyDescent="0.35">
      <c r="A18" s="1"/>
      <c r="B18" s="7"/>
      <c r="C18" s="7"/>
      <c r="D18" s="7"/>
      <c r="E18" s="7"/>
    </row>
    <row r="19" spans="1:5" customFormat="1" ht="22" customHeight="1" x14ac:dyDescent="0.35">
      <c r="A19" s="1" t="s">
        <v>21</v>
      </c>
      <c r="B19" s="7"/>
      <c r="C19" s="7"/>
      <c r="D19" s="7"/>
      <c r="E19" s="7"/>
    </row>
    <row r="20" spans="1:5" customFormat="1" ht="22" customHeight="1" x14ac:dyDescent="0.35">
      <c r="A20" s="5" t="s">
        <v>14</v>
      </c>
      <c r="B20" s="7">
        <v>1655000</v>
      </c>
      <c r="C20" s="7">
        <v>40000</v>
      </c>
      <c r="D20" s="7">
        <v>55000</v>
      </c>
      <c r="E20" s="7">
        <v>2790000</v>
      </c>
    </row>
    <row r="21" spans="1:5" customFormat="1" ht="22" customHeight="1" x14ac:dyDescent="0.35">
      <c r="A21" s="5" t="s">
        <v>28</v>
      </c>
      <c r="B21" s="7">
        <v>-425000</v>
      </c>
      <c r="C21" s="7">
        <v>-20000</v>
      </c>
      <c r="D21" s="7">
        <v>-25000</v>
      </c>
      <c r="E21" s="7">
        <v>-265000</v>
      </c>
    </row>
    <row r="22" spans="1:5" customFormat="1" ht="27.5" customHeight="1" thickBot="1" x14ac:dyDescent="0.4">
      <c r="A22" s="1" t="s">
        <v>22</v>
      </c>
      <c r="B22" s="9">
        <f>SUM(B20:B21)</f>
        <v>1230000</v>
      </c>
      <c r="C22" s="9">
        <f>SUM(C20:C21)</f>
        <v>20000</v>
      </c>
      <c r="D22" s="9">
        <f>SUM(D20:D21)</f>
        <v>30000</v>
      </c>
      <c r="E22" s="9">
        <f>SUM(E20:E21)</f>
        <v>2525000</v>
      </c>
    </row>
    <row r="23" spans="1:5" customFormat="1" ht="22" customHeight="1" thickTop="1" x14ac:dyDescent="0.35">
      <c r="A23" s="1"/>
      <c r="B23" s="7"/>
      <c r="C23" s="7"/>
      <c r="D23" s="7"/>
      <c r="E23" s="7"/>
    </row>
    <row r="24" spans="1:5" customFormat="1" ht="22" customHeight="1" x14ac:dyDescent="0.35">
      <c r="A24" s="6" t="s">
        <v>32</v>
      </c>
      <c r="B24" s="3"/>
      <c r="C24" s="3"/>
      <c r="D24" s="3"/>
      <c r="E24" s="3"/>
    </row>
    <row r="25" spans="1:5" ht="22" customHeight="1" x14ac:dyDescent="0.35">
      <c r="A25" s="6" t="s">
        <v>33</v>
      </c>
    </row>
    <row r="26" spans="1:5" ht="22" customHeight="1" x14ac:dyDescent="0.35">
      <c r="A26" s="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4084-5CE0-41B6-8966-D50775BBE131}">
  <dimension ref="A1:F27"/>
  <sheetViews>
    <sheetView zoomScale="80" zoomScaleNormal="80" workbookViewId="0"/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51</v>
      </c>
      <c r="C1" s="2" t="s">
        <v>52</v>
      </c>
      <c r="D1" s="2" t="s">
        <v>53</v>
      </c>
      <c r="E1" s="2" t="s">
        <v>54</v>
      </c>
    </row>
    <row r="2" spans="1:5" ht="35.5" customHeight="1" thickBot="1" x14ac:dyDescent="0.4">
      <c r="A2" s="1"/>
      <c r="B2" s="1" t="s">
        <v>9</v>
      </c>
      <c r="C2" s="1" t="s">
        <v>23</v>
      </c>
      <c r="D2" s="1" t="s">
        <v>24</v>
      </c>
      <c r="E2" s="1" t="s">
        <v>25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-9648</v>
      </c>
      <c r="C4" s="7">
        <v>-1061</v>
      </c>
      <c r="D4" s="7">
        <v>-39607</v>
      </c>
      <c r="E4" s="7">
        <v>-10297</v>
      </c>
    </row>
    <row r="5" spans="1:5" ht="22" customHeight="1" x14ac:dyDescent="0.35">
      <c r="A5" s="5" t="s">
        <v>1</v>
      </c>
      <c r="B5" s="7">
        <v>-711169</v>
      </c>
      <c r="C5" s="7">
        <v>-215872</v>
      </c>
      <c r="D5" s="7">
        <v>-12948084</v>
      </c>
      <c r="E5" s="7">
        <v>-1727536</v>
      </c>
    </row>
    <row r="6" spans="1:5" ht="27" customHeight="1" x14ac:dyDescent="0.35">
      <c r="A6" s="5" t="s">
        <v>0</v>
      </c>
      <c r="B6" s="7">
        <v>1285402</v>
      </c>
      <c r="C6" s="7">
        <v>-95171</v>
      </c>
      <c r="D6" s="7">
        <v>-1493390</v>
      </c>
      <c r="E6" s="7">
        <v>3350419</v>
      </c>
    </row>
    <row r="7" spans="1:5" ht="32" customHeight="1" x14ac:dyDescent="0.35">
      <c r="A7" s="1" t="s">
        <v>12</v>
      </c>
      <c r="B7" s="8">
        <f>SUM(B4:B6)</f>
        <v>564585</v>
      </c>
      <c r="C7" s="8">
        <f>SUM(C4:C6)</f>
        <v>-312104</v>
      </c>
      <c r="D7" s="8">
        <f>SUM(D4:D6)</f>
        <v>-14481081</v>
      </c>
      <c r="E7" s="8">
        <f>SUM(E4:E6)</f>
        <v>1612586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customFormat="1" ht="22" customHeight="1" x14ac:dyDescent="0.35">
      <c r="A10" s="5" t="s">
        <v>14</v>
      </c>
      <c r="B10" s="7">
        <v>16294725</v>
      </c>
      <c r="C10" s="7">
        <v>9475294</v>
      </c>
      <c r="D10" s="7">
        <v>87488509</v>
      </c>
      <c r="E10" s="7">
        <v>35220970</v>
      </c>
    </row>
    <row r="11" spans="1:5" customFormat="1" ht="22" customHeight="1" x14ac:dyDescent="0.35">
      <c r="A11" s="5" t="s">
        <v>28</v>
      </c>
      <c r="B11" s="7">
        <v>-8793634</v>
      </c>
      <c r="C11" s="7">
        <v>-3288992</v>
      </c>
      <c r="D11" s="7">
        <v>-6763499</v>
      </c>
      <c r="E11" s="7">
        <v>-11290906</v>
      </c>
    </row>
    <row r="12" spans="1:5" customFormat="1" ht="26" x14ac:dyDescent="0.35">
      <c r="A12" s="1" t="s">
        <v>16</v>
      </c>
      <c r="B12" s="8">
        <f>SUM(B9:B11)</f>
        <v>7501091</v>
      </c>
      <c r="C12" s="8">
        <f>SUM(C9:C11)</f>
        <v>6186302</v>
      </c>
      <c r="D12" s="8">
        <f>SUM(D9:D11)</f>
        <v>80725010</v>
      </c>
      <c r="E12" s="8">
        <f>SUM(E9:E11)</f>
        <v>23930064</v>
      </c>
    </row>
    <row r="13" spans="1:5" customFormat="1" ht="22" customHeight="1" x14ac:dyDescent="0.35">
      <c r="A13" s="1" t="s">
        <v>17</v>
      </c>
      <c r="B13" s="8">
        <f>B7+B12</f>
        <v>8065676</v>
      </c>
      <c r="C13" s="8">
        <f>C7+C12</f>
        <v>5874198</v>
      </c>
      <c r="D13" s="8">
        <f>D7+D12</f>
        <v>66243929</v>
      </c>
      <c r="E13" s="8">
        <f>E7+E12</f>
        <v>25542650</v>
      </c>
    </row>
    <row r="14" spans="1:5" customFormat="1" ht="22" customHeight="1" x14ac:dyDescent="0.35">
      <c r="A14" s="1"/>
      <c r="B14" s="7"/>
      <c r="C14" s="7"/>
      <c r="D14" s="7"/>
      <c r="E14" s="7"/>
    </row>
    <row r="15" spans="1:5" customFormat="1" ht="22" customHeight="1" x14ac:dyDescent="0.35">
      <c r="A15" s="1" t="s">
        <v>18</v>
      </c>
      <c r="B15" s="7"/>
      <c r="C15" s="7"/>
      <c r="D15" s="7"/>
      <c r="E15" s="7"/>
    </row>
    <row r="16" spans="1:5" customFormat="1" ht="22" customHeight="1" x14ac:dyDescent="0.35">
      <c r="A16" s="5" t="s">
        <v>19</v>
      </c>
      <c r="B16" s="7">
        <v>0</v>
      </c>
      <c r="C16" s="7">
        <v>0</v>
      </c>
      <c r="D16" s="7">
        <v>0</v>
      </c>
      <c r="E16" s="7">
        <v>0</v>
      </c>
    </row>
    <row r="17" spans="1:5" customFormat="1" ht="22" customHeight="1" thickBot="1" x14ac:dyDescent="0.4">
      <c r="A17" s="5" t="s">
        <v>20</v>
      </c>
      <c r="B17" s="11">
        <f>B16+B13</f>
        <v>8065676</v>
      </c>
      <c r="C17" s="11">
        <f t="shared" ref="C17:E17" si="0">C16+C13</f>
        <v>5874198</v>
      </c>
      <c r="D17" s="11">
        <f t="shared" si="0"/>
        <v>66243929</v>
      </c>
      <c r="E17" s="11">
        <f t="shared" si="0"/>
        <v>25542650</v>
      </c>
    </row>
    <row r="18" spans="1:5" customFormat="1" ht="22" customHeight="1" thickTop="1" x14ac:dyDescent="0.35">
      <c r="A18" s="1"/>
      <c r="B18" s="7"/>
      <c r="C18" s="7"/>
      <c r="D18" s="7"/>
      <c r="E18" s="7"/>
    </row>
    <row r="19" spans="1:5" customFormat="1" ht="22" customHeight="1" x14ac:dyDescent="0.35">
      <c r="A19" s="1" t="s">
        <v>21</v>
      </c>
      <c r="B19" s="7"/>
      <c r="C19" s="7"/>
      <c r="D19" s="7"/>
      <c r="E19" s="7"/>
    </row>
    <row r="20" spans="1:5" customFormat="1" ht="22" customHeight="1" x14ac:dyDescent="0.35">
      <c r="A20" s="5" t="s">
        <v>14</v>
      </c>
      <c r="B20" s="7">
        <v>510000</v>
      </c>
      <c r="C20" s="7">
        <v>685000</v>
      </c>
      <c r="D20" s="7">
        <v>9080000</v>
      </c>
      <c r="E20" s="7">
        <v>2710000</v>
      </c>
    </row>
    <row r="21" spans="1:5" customFormat="1" ht="22" customHeight="1" x14ac:dyDescent="0.35">
      <c r="A21" s="5" t="s">
        <v>28</v>
      </c>
      <c r="B21" s="7">
        <v>-290000</v>
      </c>
      <c r="C21" s="7">
        <v>-240000</v>
      </c>
      <c r="D21" s="7">
        <v>-640000</v>
      </c>
      <c r="E21" s="7">
        <v>-845000</v>
      </c>
    </row>
    <row r="22" spans="1:5" customFormat="1" ht="27.5" customHeight="1" thickBot="1" x14ac:dyDescent="0.4">
      <c r="A22" s="1" t="s">
        <v>22</v>
      </c>
      <c r="B22" s="9">
        <f>SUM(B20:B21)</f>
        <v>220000</v>
      </c>
      <c r="C22" s="9">
        <f>SUM(C20:C21)</f>
        <v>445000</v>
      </c>
      <c r="D22" s="9">
        <f>SUM(D20:D21)</f>
        <v>8440000</v>
      </c>
      <c r="E22" s="9">
        <f>SUM(E20:E21)</f>
        <v>1865000</v>
      </c>
    </row>
    <row r="23" spans="1:5" customFormat="1" ht="22" customHeight="1" thickTop="1" x14ac:dyDescent="0.35">
      <c r="A23" s="1"/>
      <c r="B23" s="7"/>
      <c r="C23" s="7"/>
      <c r="D23" s="7"/>
      <c r="E23" s="7"/>
    </row>
    <row r="24" spans="1:5" customFormat="1" ht="22" customHeight="1" x14ac:dyDescent="0.35">
      <c r="A24" s="6" t="s">
        <v>55</v>
      </c>
      <c r="B24" s="3"/>
      <c r="C24" s="3"/>
      <c r="D24" s="3"/>
      <c r="E24" s="3"/>
    </row>
    <row r="25" spans="1:5" customFormat="1" ht="22" customHeight="1" x14ac:dyDescent="0.35">
      <c r="A25" s="6" t="s">
        <v>56</v>
      </c>
      <c r="B25" s="3"/>
      <c r="C25" s="3"/>
      <c r="D25" s="3"/>
      <c r="E25" s="3"/>
    </row>
    <row r="26" spans="1:5" customFormat="1" ht="22" customHeight="1" x14ac:dyDescent="0.35">
      <c r="A26" s="6" t="s">
        <v>34</v>
      </c>
      <c r="B26" s="3"/>
      <c r="C26" s="3"/>
      <c r="D26" s="3"/>
      <c r="E26" s="3"/>
    </row>
    <row r="27" spans="1:5" ht="22" customHeight="1" x14ac:dyDescent="0.35">
      <c r="A27" s="6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B0BC-AB78-4D7E-B31D-3257474DD968}">
  <dimension ref="A1:F26"/>
  <sheetViews>
    <sheetView zoomScale="80" zoomScaleNormal="80" workbookViewId="0">
      <selection activeCell="B4" sqref="B4"/>
    </sheetView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57</v>
      </c>
      <c r="C1" s="2" t="s">
        <v>58</v>
      </c>
      <c r="D1" s="2" t="s">
        <v>59</v>
      </c>
      <c r="E1" s="2" t="s">
        <v>60</v>
      </c>
    </row>
    <row r="2" spans="1:5" ht="35.5" customHeight="1" thickBot="1" x14ac:dyDescent="0.4">
      <c r="A2" s="1"/>
      <c r="B2" s="1" t="s">
        <v>9</v>
      </c>
      <c r="C2" s="1" t="s">
        <v>23</v>
      </c>
      <c r="D2" s="1" t="s">
        <v>23</v>
      </c>
      <c r="E2" s="1" t="s">
        <v>24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-52764</v>
      </c>
      <c r="C4" s="7">
        <v>-741</v>
      </c>
      <c r="D4" s="7">
        <v>-313</v>
      </c>
      <c r="E4" s="7">
        <v>-2263</v>
      </c>
    </row>
    <row r="5" spans="1:5" ht="22" customHeight="1" x14ac:dyDescent="0.35">
      <c r="A5" s="5" t="s">
        <v>1</v>
      </c>
      <c r="B5" s="7">
        <v>6621224</v>
      </c>
      <c r="C5" s="7">
        <v>-1201147</v>
      </c>
      <c r="D5" s="7">
        <v>-9692</v>
      </c>
      <c r="E5" s="7">
        <v>-410987</v>
      </c>
    </row>
    <row r="6" spans="1:5" ht="27" customHeight="1" x14ac:dyDescent="0.35">
      <c r="A6" s="5" t="s">
        <v>0</v>
      </c>
      <c r="B6" s="7">
        <v>12850306</v>
      </c>
      <c r="C6" s="7">
        <v>14655</v>
      </c>
      <c r="D6" s="7">
        <v>490921</v>
      </c>
      <c r="E6" s="7">
        <v>130889</v>
      </c>
    </row>
    <row r="7" spans="1:5" ht="32" customHeight="1" x14ac:dyDescent="0.35">
      <c r="A7" s="1" t="s">
        <v>12</v>
      </c>
      <c r="B7" s="8">
        <f>SUM(B4:B6)</f>
        <v>19418766</v>
      </c>
      <c r="C7" s="8">
        <f>SUM(C4:C6)</f>
        <v>-1187233</v>
      </c>
      <c r="D7" s="8">
        <f>SUM(D4:D6)</f>
        <v>480916</v>
      </c>
      <c r="E7" s="8">
        <f>SUM(E4:E6)</f>
        <v>-282361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customFormat="1" ht="22" customHeight="1" x14ac:dyDescent="0.35">
      <c r="A10" s="5" t="s">
        <v>14</v>
      </c>
      <c r="B10" s="7">
        <v>104458712</v>
      </c>
      <c r="C10" s="7">
        <v>7505094</v>
      </c>
      <c r="D10" s="7">
        <v>2929447</v>
      </c>
      <c r="E10" s="7">
        <v>5746050</v>
      </c>
    </row>
    <row r="11" spans="1:5" customFormat="1" ht="22" customHeight="1" x14ac:dyDescent="0.35">
      <c r="A11" s="5" t="s">
        <v>28</v>
      </c>
      <c r="B11" s="7">
        <v>-35552360</v>
      </c>
      <c r="C11" s="7">
        <v>-297630</v>
      </c>
      <c r="D11" s="7">
        <v>-846936</v>
      </c>
      <c r="E11" s="7">
        <v>-915409</v>
      </c>
    </row>
    <row r="12" spans="1:5" customFormat="1" ht="26" x14ac:dyDescent="0.35">
      <c r="A12" s="1" t="s">
        <v>16</v>
      </c>
      <c r="B12" s="8">
        <f>SUM(B9:B11)</f>
        <v>68906352</v>
      </c>
      <c r="C12" s="8">
        <f>SUM(C9:C11)</f>
        <v>7207464</v>
      </c>
      <c r="D12" s="8">
        <f>SUM(D9:D11)</f>
        <v>2082511</v>
      </c>
      <c r="E12" s="8">
        <f>SUM(E9:E11)</f>
        <v>4830641</v>
      </c>
    </row>
    <row r="13" spans="1:5" customFormat="1" ht="22" customHeight="1" x14ac:dyDescent="0.35">
      <c r="A13" s="1" t="s">
        <v>17</v>
      </c>
      <c r="B13" s="8">
        <f>B7+B12</f>
        <v>88325118</v>
      </c>
      <c r="C13" s="8">
        <f>C7+C12</f>
        <v>6020231</v>
      </c>
      <c r="D13" s="8">
        <f>D7+D12</f>
        <v>2563427</v>
      </c>
      <c r="E13" s="8">
        <f>E7+E12</f>
        <v>4548280</v>
      </c>
    </row>
    <row r="14" spans="1:5" customFormat="1" ht="22" customHeight="1" x14ac:dyDescent="0.35">
      <c r="A14" s="1"/>
      <c r="B14" s="7"/>
      <c r="C14" s="7"/>
      <c r="D14" s="7"/>
      <c r="E14" s="7"/>
    </row>
    <row r="15" spans="1:5" customFormat="1" ht="22" customHeight="1" x14ac:dyDescent="0.35">
      <c r="A15" s="1" t="s">
        <v>18</v>
      </c>
      <c r="B15" s="7"/>
      <c r="C15" s="7"/>
      <c r="D15" s="7"/>
      <c r="E15" s="7"/>
    </row>
    <row r="16" spans="1:5" customFormat="1" ht="22" customHeight="1" x14ac:dyDescent="0.35">
      <c r="A16" s="5" t="s">
        <v>19</v>
      </c>
      <c r="B16" s="7">
        <v>0</v>
      </c>
      <c r="C16" s="7">
        <v>0</v>
      </c>
      <c r="D16" s="7">
        <v>0</v>
      </c>
      <c r="E16" s="7">
        <v>0</v>
      </c>
    </row>
    <row r="17" spans="1:5" customFormat="1" ht="22" customHeight="1" thickBot="1" x14ac:dyDescent="0.4">
      <c r="A17" s="5" t="s">
        <v>20</v>
      </c>
      <c r="B17" s="11">
        <f>B16+B13</f>
        <v>88325118</v>
      </c>
      <c r="C17" s="11">
        <f t="shared" ref="C17:E17" si="0">C16+C13</f>
        <v>6020231</v>
      </c>
      <c r="D17" s="11">
        <f t="shared" si="0"/>
        <v>2563427</v>
      </c>
      <c r="E17" s="11">
        <f t="shared" si="0"/>
        <v>4548280</v>
      </c>
    </row>
    <row r="18" spans="1:5" customFormat="1" ht="22" customHeight="1" thickTop="1" x14ac:dyDescent="0.35">
      <c r="A18" s="1"/>
      <c r="B18" s="7"/>
      <c r="C18" s="7"/>
      <c r="D18" s="7"/>
      <c r="E18" s="7"/>
    </row>
    <row r="19" spans="1:5" customFormat="1" ht="22" customHeight="1" x14ac:dyDescent="0.35">
      <c r="A19" s="1" t="s">
        <v>21</v>
      </c>
      <c r="B19" s="7"/>
      <c r="C19" s="7"/>
      <c r="D19" s="7"/>
      <c r="E19" s="7"/>
    </row>
    <row r="20" spans="1:5" customFormat="1" ht="22" customHeight="1" x14ac:dyDescent="0.35">
      <c r="A20" s="5" t="s">
        <v>14</v>
      </c>
      <c r="B20" s="7">
        <v>10400000</v>
      </c>
      <c r="C20" s="7">
        <v>715000</v>
      </c>
      <c r="D20" s="7">
        <v>170000</v>
      </c>
      <c r="E20" s="7">
        <v>215000</v>
      </c>
    </row>
    <row r="21" spans="1:5" customFormat="1" ht="22" customHeight="1" x14ac:dyDescent="0.35">
      <c r="A21" s="5" t="s">
        <v>28</v>
      </c>
      <c r="B21" s="7">
        <v>-3205000</v>
      </c>
      <c r="C21" s="7">
        <v>-25000</v>
      </c>
      <c r="D21" s="7">
        <v>-55000</v>
      </c>
      <c r="E21" s="7">
        <v>-40000</v>
      </c>
    </row>
    <row r="22" spans="1:5" customFormat="1" ht="27.5" customHeight="1" thickBot="1" x14ac:dyDescent="0.4">
      <c r="A22" s="1" t="s">
        <v>22</v>
      </c>
      <c r="B22" s="9">
        <f>SUM(B20:B21)</f>
        <v>7195000</v>
      </c>
      <c r="C22" s="9">
        <f>SUM(C20:C21)</f>
        <v>690000</v>
      </c>
      <c r="D22" s="9">
        <f>SUM(D20:D21)</f>
        <v>115000</v>
      </c>
      <c r="E22" s="9">
        <f>SUM(E20:E21)</f>
        <v>175000</v>
      </c>
    </row>
    <row r="23" spans="1:5" customFormat="1" ht="22" customHeight="1" thickTop="1" x14ac:dyDescent="0.35">
      <c r="A23" s="1"/>
      <c r="B23" s="7"/>
      <c r="C23" s="7"/>
      <c r="D23" s="7"/>
      <c r="E23" s="7"/>
    </row>
    <row r="24" spans="1:5" customFormat="1" ht="22" customHeight="1" x14ac:dyDescent="0.35">
      <c r="A24" s="6" t="s">
        <v>4</v>
      </c>
      <c r="B24" s="3"/>
      <c r="C24" s="3"/>
      <c r="D24" s="3"/>
      <c r="E24" s="3"/>
    </row>
    <row r="25" spans="1:5" customFormat="1" ht="22" customHeight="1" x14ac:dyDescent="0.35">
      <c r="A25" s="6" t="s">
        <v>6</v>
      </c>
      <c r="B25" s="3"/>
      <c r="C25" s="3"/>
      <c r="D25" s="3"/>
      <c r="E25" s="3"/>
    </row>
    <row r="26" spans="1:5" customFormat="1" ht="22" customHeight="1" x14ac:dyDescent="0.35">
      <c r="A26" s="6" t="s">
        <v>3</v>
      </c>
      <c r="B26" s="3"/>
      <c r="C26" s="3"/>
      <c r="D26" s="3"/>
      <c r="E2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820E-DC72-4B1C-B15C-5039CDCE5CC5}">
  <dimension ref="A1:F26"/>
  <sheetViews>
    <sheetView zoomScale="80" zoomScaleNormal="80" workbookViewId="0"/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61</v>
      </c>
      <c r="C1" s="2" t="s">
        <v>62</v>
      </c>
      <c r="D1" s="2" t="s">
        <v>63</v>
      </c>
      <c r="E1" s="2" t="s">
        <v>64</v>
      </c>
    </row>
    <row r="2" spans="1:5" ht="35.5" customHeight="1" thickBot="1" x14ac:dyDescent="0.4">
      <c r="A2" s="1"/>
      <c r="B2" s="1" t="s">
        <v>9</v>
      </c>
      <c r="C2" s="1" t="s">
        <v>23</v>
      </c>
      <c r="D2" s="1" t="s">
        <v>23</v>
      </c>
      <c r="E2" s="1" t="s">
        <v>24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-78093</v>
      </c>
      <c r="C4" s="7">
        <v>-7</v>
      </c>
      <c r="D4" s="7">
        <v>-20</v>
      </c>
      <c r="E4" s="7">
        <v>-34400</v>
      </c>
    </row>
    <row r="5" spans="1:5" ht="22" customHeight="1" x14ac:dyDescent="0.35">
      <c r="A5" s="5" t="s">
        <v>1</v>
      </c>
      <c r="B5" s="7">
        <v>27592470</v>
      </c>
      <c r="C5" s="7">
        <v>-3645</v>
      </c>
      <c r="D5" s="7">
        <v>-1071</v>
      </c>
      <c r="E5" s="7">
        <v>10012415</v>
      </c>
    </row>
    <row r="6" spans="1:5" ht="27" customHeight="1" x14ac:dyDescent="0.35">
      <c r="A6" s="5" t="s">
        <v>0</v>
      </c>
      <c r="B6" s="7">
        <v>22312706</v>
      </c>
      <c r="C6" s="7">
        <v>-89882</v>
      </c>
      <c r="D6" s="7">
        <v>161887</v>
      </c>
      <c r="E6" s="7">
        <v>3971588</v>
      </c>
    </row>
    <row r="7" spans="1:5" ht="32" customHeight="1" x14ac:dyDescent="0.35">
      <c r="A7" s="1" t="s">
        <v>12</v>
      </c>
      <c r="B7" s="8">
        <f>SUM(B4:B6)</f>
        <v>49827083</v>
      </c>
      <c r="C7" s="8">
        <f>SUM(C4:C6)</f>
        <v>-93534</v>
      </c>
      <c r="D7" s="8">
        <f>SUM(D4:D6)</f>
        <v>160796</v>
      </c>
      <c r="E7" s="8">
        <f>SUM(E4:E6)</f>
        <v>13949603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customFormat="1" ht="22" customHeight="1" x14ac:dyDescent="0.35">
      <c r="A10" s="5" t="s">
        <v>14</v>
      </c>
      <c r="B10" s="7">
        <v>239486691</v>
      </c>
      <c r="C10" s="7">
        <v>930174</v>
      </c>
      <c r="D10" s="7">
        <v>1554587</v>
      </c>
      <c r="E10" s="7">
        <v>29128446</v>
      </c>
    </row>
    <row r="11" spans="1:5" customFormat="1" ht="22" customHeight="1" x14ac:dyDescent="0.35">
      <c r="A11" s="5" t="s">
        <v>28</v>
      </c>
      <c r="B11" s="7">
        <v>-187630470</v>
      </c>
      <c r="C11" s="7">
        <v>-306485</v>
      </c>
      <c r="D11" s="7">
        <v>-423615</v>
      </c>
      <c r="E11" s="7">
        <v>-20207157</v>
      </c>
    </row>
    <row r="12" spans="1:5" customFormat="1" ht="26" x14ac:dyDescent="0.35">
      <c r="A12" s="1" t="s">
        <v>16</v>
      </c>
      <c r="B12" s="8">
        <f>SUM(B9:B11)</f>
        <v>51856221</v>
      </c>
      <c r="C12" s="8">
        <f>SUM(C9:C11)</f>
        <v>623689</v>
      </c>
      <c r="D12" s="8">
        <f>SUM(D9:D11)</f>
        <v>1130972</v>
      </c>
      <c r="E12" s="8">
        <f>SUM(E9:E11)</f>
        <v>8921289</v>
      </c>
    </row>
    <row r="13" spans="1:5" customFormat="1" ht="22" customHeight="1" x14ac:dyDescent="0.35">
      <c r="A13" s="1" t="s">
        <v>17</v>
      </c>
      <c r="B13" s="8">
        <f>B7+B12</f>
        <v>101683304</v>
      </c>
      <c r="C13" s="8">
        <f>C7+C12</f>
        <v>530155</v>
      </c>
      <c r="D13" s="8">
        <f>D7+D12</f>
        <v>1291768</v>
      </c>
      <c r="E13" s="8">
        <f>E7+E12</f>
        <v>22870892</v>
      </c>
    </row>
    <row r="14" spans="1:5" customFormat="1" ht="22" customHeight="1" x14ac:dyDescent="0.35">
      <c r="A14" s="1"/>
      <c r="B14" s="7"/>
      <c r="C14" s="7"/>
      <c r="D14" s="7"/>
      <c r="E14" s="7"/>
    </row>
    <row r="15" spans="1:5" customFormat="1" ht="22" customHeight="1" x14ac:dyDescent="0.35">
      <c r="A15" s="1" t="s">
        <v>18</v>
      </c>
      <c r="B15" s="7"/>
      <c r="C15" s="7"/>
      <c r="D15" s="7"/>
      <c r="E15" s="7"/>
    </row>
    <row r="16" spans="1:5" customFormat="1" ht="22" customHeight="1" x14ac:dyDescent="0.35">
      <c r="A16" s="5" t="s">
        <v>19</v>
      </c>
      <c r="B16" s="7">
        <v>0</v>
      </c>
      <c r="C16" s="7">
        <v>0</v>
      </c>
      <c r="D16" s="7">
        <v>0</v>
      </c>
      <c r="E16" s="7">
        <v>0</v>
      </c>
    </row>
    <row r="17" spans="1:5" customFormat="1" ht="22" customHeight="1" thickBot="1" x14ac:dyDescent="0.4">
      <c r="A17" s="5" t="s">
        <v>20</v>
      </c>
      <c r="B17" s="11">
        <f>B16+B13</f>
        <v>101683304</v>
      </c>
      <c r="C17" s="11">
        <f t="shared" ref="C17:E17" si="0">C16+C13</f>
        <v>530155</v>
      </c>
      <c r="D17" s="11">
        <f t="shared" si="0"/>
        <v>1291768</v>
      </c>
      <c r="E17" s="11">
        <f t="shared" si="0"/>
        <v>22870892</v>
      </c>
    </row>
    <row r="18" spans="1:5" customFormat="1" ht="22" customHeight="1" thickTop="1" x14ac:dyDescent="0.35">
      <c r="A18" s="1"/>
      <c r="B18" s="7"/>
      <c r="C18" s="7"/>
      <c r="D18" s="7"/>
      <c r="E18" s="7"/>
    </row>
    <row r="19" spans="1:5" customFormat="1" ht="22" customHeight="1" x14ac:dyDescent="0.35">
      <c r="A19" s="1" t="s">
        <v>21</v>
      </c>
      <c r="B19" s="7"/>
      <c r="C19" s="7"/>
      <c r="D19" s="7"/>
      <c r="E19" s="7"/>
    </row>
    <row r="20" spans="1:5" customFormat="1" ht="22" customHeight="1" x14ac:dyDescent="0.35">
      <c r="A20" s="5" t="s">
        <v>14</v>
      </c>
      <c r="B20" s="7">
        <v>3070000</v>
      </c>
      <c r="C20" s="7">
        <v>70000</v>
      </c>
      <c r="D20" s="7">
        <v>95000</v>
      </c>
      <c r="E20" s="7">
        <v>2580000</v>
      </c>
    </row>
    <row r="21" spans="1:5" customFormat="1" ht="22" customHeight="1" x14ac:dyDescent="0.35">
      <c r="A21" s="5" t="s">
        <v>28</v>
      </c>
      <c r="B21" s="7">
        <v>-2190000</v>
      </c>
      <c r="C21" s="7">
        <v>-25000</v>
      </c>
      <c r="D21" s="7">
        <v>-25000</v>
      </c>
      <c r="E21" s="7">
        <v>-1590000</v>
      </c>
    </row>
    <row r="22" spans="1:5" customFormat="1" ht="27.5" customHeight="1" thickBot="1" x14ac:dyDescent="0.4">
      <c r="A22" s="1" t="s">
        <v>22</v>
      </c>
      <c r="B22" s="9">
        <f>SUM(B20:B21)</f>
        <v>880000</v>
      </c>
      <c r="C22" s="9">
        <f>SUM(C20:C21)</f>
        <v>45000</v>
      </c>
      <c r="D22" s="9">
        <f>SUM(D20:D21)</f>
        <v>70000</v>
      </c>
      <c r="E22" s="9">
        <f>SUM(E20:E21)</f>
        <v>990000</v>
      </c>
    </row>
    <row r="23" spans="1:5" customFormat="1" ht="22" customHeight="1" thickTop="1" x14ac:dyDescent="0.35">
      <c r="A23" s="1"/>
      <c r="B23" s="7"/>
      <c r="C23" s="7"/>
      <c r="D23" s="7"/>
      <c r="E23" s="7"/>
    </row>
    <row r="24" spans="1:5" customFormat="1" ht="22" customHeight="1" x14ac:dyDescent="0.35">
      <c r="A24" s="6" t="s">
        <v>65</v>
      </c>
      <c r="B24" s="3"/>
      <c r="C24" s="3"/>
      <c r="D24" s="3"/>
      <c r="E24" s="3"/>
    </row>
    <row r="25" spans="1:5" customFormat="1" ht="22" customHeight="1" x14ac:dyDescent="0.35">
      <c r="A25" s="6" t="s">
        <v>33</v>
      </c>
      <c r="B25" s="3"/>
      <c r="C25" s="3"/>
      <c r="D25" s="3"/>
      <c r="E25" s="3"/>
    </row>
    <row r="26" spans="1:5" customFormat="1" ht="22" customHeight="1" x14ac:dyDescent="0.35">
      <c r="A26" s="6" t="s">
        <v>8</v>
      </c>
      <c r="B26" s="3"/>
      <c r="C26" s="3"/>
      <c r="D26" s="3"/>
      <c r="E2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1548-EE74-49F7-89CB-A4591A7E69D3}">
  <dimension ref="A1:F27"/>
  <sheetViews>
    <sheetView zoomScale="80" zoomScaleNormal="80" workbookViewId="0"/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66</v>
      </c>
      <c r="C1" s="2" t="s">
        <v>67</v>
      </c>
      <c r="D1" s="2" t="s">
        <v>68</v>
      </c>
      <c r="E1" s="2" t="s">
        <v>69</v>
      </c>
    </row>
    <row r="2" spans="1:5" ht="35.5" customHeight="1" thickBot="1" x14ac:dyDescent="0.4">
      <c r="A2" s="1"/>
      <c r="B2" s="1" t="s">
        <v>9</v>
      </c>
      <c r="C2" s="1" t="s">
        <v>23</v>
      </c>
      <c r="D2" s="1" t="s">
        <v>24</v>
      </c>
      <c r="E2" s="1" t="s">
        <v>25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-4581</v>
      </c>
      <c r="C4" s="7">
        <v>-17361</v>
      </c>
      <c r="D4" s="7">
        <v>-7692</v>
      </c>
      <c r="E4" s="7">
        <v>-1073</v>
      </c>
    </row>
    <row r="5" spans="1:5" ht="22" customHeight="1" x14ac:dyDescent="0.35">
      <c r="A5" s="5" t="s">
        <v>1</v>
      </c>
      <c r="B5" s="7">
        <v>1539788</v>
      </c>
      <c r="C5" s="7">
        <v>5065676</v>
      </c>
      <c r="D5" s="7">
        <v>-2213430</v>
      </c>
      <c r="E5" s="7">
        <v>87805</v>
      </c>
    </row>
    <row r="6" spans="1:5" ht="27" customHeight="1" x14ac:dyDescent="0.35">
      <c r="A6" s="5" t="s">
        <v>0</v>
      </c>
      <c r="B6" s="7">
        <v>794045</v>
      </c>
      <c r="C6" s="7">
        <v>7750676</v>
      </c>
      <c r="D6" s="7">
        <v>262982</v>
      </c>
      <c r="E6" s="7">
        <v>392921</v>
      </c>
    </row>
    <row r="7" spans="1:5" ht="32" customHeight="1" x14ac:dyDescent="0.35">
      <c r="A7" s="1" t="s">
        <v>12</v>
      </c>
      <c r="B7" s="8">
        <f>SUM(B4:B6)</f>
        <v>2329252</v>
      </c>
      <c r="C7" s="8">
        <f>SUM(C4:C6)</f>
        <v>12798991</v>
      </c>
      <c r="D7" s="8">
        <f>SUM(D4:D6)</f>
        <v>-1958140</v>
      </c>
      <c r="E7" s="8">
        <f>SUM(E4:E6)</f>
        <v>479653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customFormat="1" ht="22" customHeight="1" x14ac:dyDescent="0.35">
      <c r="A10" s="5" t="s">
        <v>14</v>
      </c>
      <c r="B10" s="7">
        <v>8300854</v>
      </c>
      <c r="C10" s="7">
        <v>35898256</v>
      </c>
      <c r="D10" s="7">
        <v>57853438</v>
      </c>
      <c r="E10" s="7">
        <v>2040438</v>
      </c>
    </row>
    <row r="11" spans="1:5" customFormat="1" ht="22" customHeight="1" x14ac:dyDescent="0.35">
      <c r="A11" s="5" t="s">
        <v>28</v>
      </c>
      <c r="B11" s="7">
        <v>-6341375</v>
      </c>
      <c r="C11" s="7">
        <v>-17801552</v>
      </c>
      <c r="D11" s="7">
        <v>-16564991</v>
      </c>
      <c r="E11" s="7">
        <v>-662351</v>
      </c>
    </row>
    <row r="12" spans="1:5" customFormat="1" ht="26" x14ac:dyDescent="0.35">
      <c r="A12" s="1" t="s">
        <v>16</v>
      </c>
      <c r="B12" s="8">
        <f>SUM(B9:B11)</f>
        <v>1959479</v>
      </c>
      <c r="C12" s="8">
        <f>SUM(C9:C11)</f>
        <v>18096704</v>
      </c>
      <c r="D12" s="8">
        <f>SUM(D9:D11)</f>
        <v>41288447</v>
      </c>
      <c r="E12" s="8">
        <f>SUM(E9:E11)</f>
        <v>1378087</v>
      </c>
    </row>
    <row r="13" spans="1:5" customFormat="1" ht="22" customHeight="1" x14ac:dyDescent="0.35">
      <c r="A13" s="1" t="s">
        <v>17</v>
      </c>
      <c r="B13" s="8">
        <f>B7+B12</f>
        <v>4288731</v>
      </c>
      <c r="C13" s="8">
        <f>C7+C12</f>
        <v>30895695</v>
      </c>
      <c r="D13" s="8">
        <f>D7+D12</f>
        <v>39330307</v>
      </c>
      <c r="E13" s="8">
        <f>E7+E12</f>
        <v>1857740</v>
      </c>
    </row>
    <row r="14" spans="1:5" customFormat="1" ht="22" customHeight="1" x14ac:dyDescent="0.35">
      <c r="A14" s="1"/>
      <c r="B14" s="7"/>
      <c r="C14" s="7"/>
      <c r="D14" s="7"/>
      <c r="E14" s="7"/>
    </row>
    <row r="15" spans="1:5" customFormat="1" ht="22" customHeight="1" x14ac:dyDescent="0.35">
      <c r="A15" s="1" t="s">
        <v>18</v>
      </c>
      <c r="B15" s="7"/>
      <c r="C15" s="7"/>
      <c r="D15" s="7"/>
      <c r="E15" s="7"/>
    </row>
    <row r="16" spans="1:5" customFormat="1" ht="22" customHeight="1" x14ac:dyDescent="0.35">
      <c r="A16" s="5" t="s">
        <v>19</v>
      </c>
      <c r="B16" s="7">
        <v>0</v>
      </c>
      <c r="C16" s="7">
        <v>0</v>
      </c>
      <c r="D16" s="7">
        <v>0</v>
      </c>
      <c r="E16" s="7">
        <v>0</v>
      </c>
    </row>
    <row r="17" spans="1:5" customFormat="1" ht="22" customHeight="1" thickBot="1" x14ac:dyDescent="0.4">
      <c r="A17" s="5" t="s">
        <v>20</v>
      </c>
      <c r="B17" s="11">
        <f>B16+B13</f>
        <v>4288731</v>
      </c>
      <c r="C17" s="11">
        <f t="shared" ref="C17:E17" si="0">C16+C13</f>
        <v>30895695</v>
      </c>
      <c r="D17" s="11">
        <f t="shared" si="0"/>
        <v>39330307</v>
      </c>
      <c r="E17" s="11">
        <f t="shared" si="0"/>
        <v>1857740</v>
      </c>
    </row>
    <row r="18" spans="1:5" customFormat="1" ht="22" customHeight="1" thickTop="1" x14ac:dyDescent="0.35">
      <c r="A18" s="1"/>
      <c r="B18" s="7"/>
      <c r="C18" s="7"/>
      <c r="D18" s="7"/>
      <c r="E18" s="7"/>
    </row>
    <row r="19" spans="1:5" customFormat="1" ht="22" customHeight="1" x14ac:dyDescent="0.35">
      <c r="A19" s="1" t="s">
        <v>21</v>
      </c>
      <c r="B19" s="7"/>
      <c r="C19" s="7"/>
      <c r="D19" s="7"/>
      <c r="E19" s="7"/>
    </row>
    <row r="20" spans="1:5" customFormat="1" ht="22" customHeight="1" x14ac:dyDescent="0.35">
      <c r="A20" s="5" t="s">
        <v>14</v>
      </c>
      <c r="B20" s="7">
        <v>670000</v>
      </c>
      <c r="C20" s="7">
        <v>1350000</v>
      </c>
      <c r="D20" s="7">
        <v>3475000</v>
      </c>
      <c r="E20" s="7">
        <v>120000</v>
      </c>
    </row>
    <row r="21" spans="1:5" customFormat="1" ht="22" customHeight="1" x14ac:dyDescent="0.35">
      <c r="A21" s="5" t="s">
        <v>28</v>
      </c>
      <c r="B21" s="7">
        <v>-435000</v>
      </c>
      <c r="C21" s="7">
        <v>-615000</v>
      </c>
      <c r="D21" s="7">
        <v>-1035000</v>
      </c>
      <c r="E21" s="7">
        <v>-40000</v>
      </c>
    </row>
    <row r="22" spans="1:5" customFormat="1" ht="27.5" customHeight="1" thickBot="1" x14ac:dyDescent="0.4">
      <c r="A22" s="1" t="s">
        <v>22</v>
      </c>
      <c r="B22" s="9">
        <f>SUM(B20:B21)</f>
        <v>235000</v>
      </c>
      <c r="C22" s="9">
        <f>SUM(C20:C21)</f>
        <v>735000</v>
      </c>
      <c r="D22" s="9">
        <f>SUM(D20:D21)</f>
        <v>2440000</v>
      </c>
      <c r="E22" s="9">
        <f>SUM(E20:E21)</f>
        <v>80000</v>
      </c>
    </row>
    <row r="23" spans="1:5" customFormat="1" ht="22" customHeight="1" thickTop="1" x14ac:dyDescent="0.35">
      <c r="A23" s="1"/>
      <c r="B23" s="7"/>
      <c r="C23" s="7"/>
      <c r="D23" s="7"/>
      <c r="E23" s="7"/>
    </row>
    <row r="24" spans="1:5" customFormat="1" ht="22" customHeight="1" x14ac:dyDescent="0.35">
      <c r="A24" s="6" t="s">
        <v>65</v>
      </c>
      <c r="B24" s="3"/>
      <c r="C24" s="3"/>
      <c r="D24" s="3"/>
      <c r="E24" s="3"/>
    </row>
    <row r="25" spans="1:5" customFormat="1" ht="22" customHeight="1" x14ac:dyDescent="0.35">
      <c r="A25" s="6" t="s">
        <v>70</v>
      </c>
      <c r="B25" s="3"/>
      <c r="C25" s="3"/>
      <c r="D25" s="3"/>
      <c r="E25" s="3"/>
    </row>
    <row r="26" spans="1:5" customFormat="1" ht="22" customHeight="1" x14ac:dyDescent="0.35">
      <c r="A26" s="6" t="s">
        <v>71</v>
      </c>
      <c r="B26" s="3"/>
      <c r="C26" s="3"/>
      <c r="D26" s="3"/>
      <c r="E26" s="3"/>
    </row>
    <row r="27" spans="1:5" ht="22" customHeight="1" x14ac:dyDescent="0.35">
      <c r="A27" s="6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E318-4341-4370-84ED-36231C1D6052}">
  <dimension ref="A1:F27"/>
  <sheetViews>
    <sheetView zoomScale="80" zoomScaleNormal="80" workbookViewId="0">
      <selection activeCell="E6" sqref="E6"/>
    </sheetView>
  </sheetViews>
  <sheetFormatPr defaultColWidth="30.6328125" defaultRowHeight="22" customHeight="1" x14ac:dyDescent="0.35"/>
  <cols>
    <col min="1" max="1" width="34.08984375" style="3" customWidth="1"/>
    <col min="2" max="2" width="28.26953125" style="3" customWidth="1"/>
    <col min="3" max="5" width="30.6328125" style="3"/>
    <col min="7" max="16384" width="30.6328125" style="3"/>
  </cols>
  <sheetData>
    <row r="1" spans="1:5" ht="33.5" customHeight="1" thickBot="1" x14ac:dyDescent="0.4">
      <c r="A1" s="1"/>
      <c r="B1" s="2" t="s">
        <v>76</v>
      </c>
      <c r="C1" s="2" t="s">
        <v>77</v>
      </c>
      <c r="D1" s="2" t="s">
        <v>78</v>
      </c>
      <c r="E1" s="2" t="s">
        <v>79</v>
      </c>
    </row>
    <row r="2" spans="1:5" ht="35.5" customHeight="1" thickBot="1" x14ac:dyDescent="0.4">
      <c r="A2" s="1"/>
      <c r="B2" s="1" t="s">
        <v>9</v>
      </c>
      <c r="C2" s="1" t="s">
        <v>23</v>
      </c>
      <c r="D2" s="1" t="s">
        <v>24</v>
      </c>
      <c r="E2" s="1" t="s">
        <v>25</v>
      </c>
    </row>
    <row r="3" spans="1:5" ht="22" customHeight="1" x14ac:dyDescent="0.35">
      <c r="A3" s="1" t="s">
        <v>10</v>
      </c>
      <c r="B3" s="4"/>
      <c r="C3" s="4"/>
      <c r="D3" s="4"/>
      <c r="E3" s="4"/>
    </row>
    <row r="4" spans="1:5" ht="22" customHeight="1" x14ac:dyDescent="0.35">
      <c r="A4" s="5" t="s">
        <v>11</v>
      </c>
      <c r="B4" s="10">
        <v>-49309</v>
      </c>
      <c r="C4" s="7">
        <v>-7452</v>
      </c>
      <c r="D4" s="7">
        <v>-59011</v>
      </c>
      <c r="E4" s="7">
        <v>747</v>
      </c>
    </row>
    <row r="5" spans="1:5" ht="22" customHeight="1" x14ac:dyDescent="0.35">
      <c r="A5" s="5" t="s">
        <v>1</v>
      </c>
      <c r="B5" s="7">
        <v>-21338</v>
      </c>
      <c r="C5" s="7">
        <v>1558063</v>
      </c>
      <c r="D5" s="7">
        <v>43714214</v>
      </c>
      <c r="E5" s="7">
        <v>433449</v>
      </c>
    </row>
    <row r="6" spans="1:5" ht="27" customHeight="1" x14ac:dyDescent="0.35">
      <c r="A6" s="5" t="s">
        <v>0</v>
      </c>
      <c r="B6" s="7">
        <v>13271506</v>
      </c>
      <c r="C6" s="7">
        <v>1877269</v>
      </c>
      <c r="D6" s="7">
        <v>42207952</v>
      </c>
      <c r="E6" s="7">
        <v>541199</v>
      </c>
    </row>
    <row r="7" spans="1:5" ht="32" customHeight="1" x14ac:dyDescent="0.35">
      <c r="A7" s="1" t="s">
        <v>12</v>
      </c>
      <c r="B7" s="8">
        <f>SUM(B4:B6)</f>
        <v>13200859</v>
      </c>
      <c r="C7" s="8">
        <f>SUM(C4:C6)</f>
        <v>3427880</v>
      </c>
      <c r="D7" s="8">
        <f>SUM(D4:D6)</f>
        <v>85863155</v>
      </c>
      <c r="E7" s="8">
        <f>SUM(E4:E6)</f>
        <v>975395</v>
      </c>
    </row>
    <row r="8" spans="1:5" ht="22" customHeight="1" x14ac:dyDescent="0.35">
      <c r="A8" s="1"/>
      <c r="B8" s="7"/>
      <c r="C8" s="7"/>
      <c r="D8" s="7"/>
      <c r="E8" s="7"/>
    </row>
    <row r="9" spans="1:5" ht="22" customHeight="1" x14ac:dyDescent="0.35">
      <c r="A9" s="1" t="s">
        <v>13</v>
      </c>
      <c r="B9" s="7"/>
      <c r="C9" s="7"/>
      <c r="D9" s="7"/>
      <c r="E9" s="7"/>
    </row>
    <row r="10" spans="1:5" customFormat="1" ht="22" customHeight="1" x14ac:dyDescent="0.35">
      <c r="A10" s="5" t="s">
        <v>14</v>
      </c>
      <c r="B10" s="7">
        <v>222625167</v>
      </c>
      <c r="C10" s="7">
        <v>14331016</v>
      </c>
      <c r="D10" s="7">
        <v>218594072</v>
      </c>
      <c r="E10" s="7">
        <v>6548287</v>
      </c>
    </row>
    <row r="11" spans="1:5" customFormat="1" ht="22" customHeight="1" x14ac:dyDescent="0.35">
      <c r="A11" s="5" t="s">
        <v>28</v>
      </c>
      <c r="B11" s="7">
        <v>-185612585</v>
      </c>
      <c r="C11" s="7">
        <v>-4309950</v>
      </c>
      <c r="D11" s="7">
        <v>-71290822</v>
      </c>
      <c r="E11" s="7">
        <v>-3790562</v>
      </c>
    </row>
    <row r="12" spans="1:5" customFormat="1" ht="26" x14ac:dyDescent="0.35">
      <c r="A12" s="1" t="s">
        <v>16</v>
      </c>
      <c r="B12" s="8">
        <f>SUM(B9:B11)</f>
        <v>37012582</v>
      </c>
      <c r="C12" s="8">
        <f>SUM(C9:C11)</f>
        <v>10021066</v>
      </c>
      <c r="D12" s="8">
        <f>SUM(D9:D11)</f>
        <v>147303250</v>
      </c>
      <c r="E12" s="8">
        <f>SUM(E9:E11)</f>
        <v>2757725</v>
      </c>
    </row>
    <row r="13" spans="1:5" customFormat="1" ht="22" customHeight="1" x14ac:dyDescent="0.35">
      <c r="A13" s="1" t="s">
        <v>17</v>
      </c>
      <c r="B13" s="8">
        <f>B7+B12</f>
        <v>50213441</v>
      </c>
      <c r="C13" s="8">
        <f>C7+C12</f>
        <v>13448946</v>
      </c>
      <c r="D13" s="8">
        <f>D7+D12</f>
        <v>233166405</v>
      </c>
      <c r="E13" s="8">
        <f>E7+E12</f>
        <v>3733120</v>
      </c>
    </row>
    <row r="14" spans="1:5" customFormat="1" ht="22" customHeight="1" x14ac:dyDescent="0.35">
      <c r="A14" s="1"/>
      <c r="B14" s="7"/>
      <c r="C14" s="7"/>
      <c r="D14" s="7"/>
      <c r="E14" s="7"/>
    </row>
    <row r="15" spans="1:5" customFormat="1" ht="22" customHeight="1" x14ac:dyDescent="0.35">
      <c r="A15" s="1" t="s">
        <v>18</v>
      </c>
      <c r="B15" s="7"/>
      <c r="C15" s="7"/>
      <c r="D15" s="7"/>
      <c r="E15" s="7"/>
    </row>
    <row r="16" spans="1:5" customFormat="1" ht="22" customHeight="1" x14ac:dyDescent="0.35">
      <c r="A16" s="5" t="s">
        <v>19</v>
      </c>
      <c r="B16" s="7">
        <v>0</v>
      </c>
      <c r="C16" s="7">
        <v>0</v>
      </c>
      <c r="D16" s="7">
        <v>0</v>
      </c>
      <c r="E16" s="7">
        <v>0</v>
      </c>
    </row>
    <row r="17" spans="1:5" customFormat="1" ht="22" customHeight="1" thickBot="1" x14ac:dyDescent="0.4">
      <c r="A17" s="5" t="s">
        <v>20</v>
      </c>
      <c r="B17" s="11">
        <f>B16+B13</f>
        <v>50213441</v>
      </c>
      <c r="C17" s="11">
        <f t="shared" ref="C17:E17" si="0">C16+C13</f>
        <v>13448946</v>
      </c>
      <c r="D17" s="11">
        <f t="shared" si="0"/>
        <v>233166405</v>
      </c>
      <c r="E17" s="11">
        <f t="shared" si="0"/>
        <v>3733120</v>
      </c>
    </row>
    <row r="18" spans="1:5" customFormat="1" ht="22" customHeight="1" thickTop="1" x14ac:dyDescent="0.35">
      <c r="A18" s="1"/>
      <c r="B18" s="7"/>
      <c r="C18" s="7"/>
      <c r="D18" s="7"/>
      <c r="E18" s="7"/>
    </row>
    <row r="19" spans="1:5" customFormat="1" ht="22" customHeight="1" x14ac:dyDescent="0.35">
      <c r="A19" s="1" t="s">
        <v>21</v>
      </c>
      <c r="B19" s="7"/>
      <c r="C19" s="7"/>
      <c r="D19" s="7"/>
      <c r="E19" s="7"/>
    </row>
    <row r="20" spans="1:5" customFormat="1" ht="22" customHeight="1" x14ac:dyDescent="0.35">
      <c r="A20" s="5" t="s">
        <v>14</v>
      </c>
      <c r="B20" s="7">
        <v>27425000</v>
      </c>
      <c r="C20" s="7">
        <v>715000</v>
      </c>
      <c r="D20" s="7">
        <v>15135000</v>
      </c>
      <c r="E20" s="7">
        <v>415000</v>
      </c>
    </row>
    <row r="21" spans="1:5" customFormat="1" ht="22" customHeight="1" x14ac:dyDescent="0.35">
      <c r="A21" s="5" t="s">
        <v>28</v>
      </c>
      <c r="B21" s="7">
        <v>-22770000</v>
      </c>
      <c r="C21" s="7">
        <v>-210000</v>
      </c>
      <c r="D21" s="7">
        <v>-3690000</v>
      </c>
      <c r="E21" s="7">
        <v>-250000</v>
      </c>
    </row>
    <row r="22" spans="1:5" customFormat="1" ht="27.5" customHeight="1" thickBot="1" x14ac:dyDescent="0.4">
      <c r="A22" s="1" t="s">
        <v>22</v>
      </c>
      <c r="B22" s="9">
        <f>SUM(B20:B21)</f>
        <v>4655000</v>
      </c>
      <c r="C22" s="9">
        <f>SUM(C20:C21)</f>
        <v>505000</v>
      </c>
      <c r="D22" s="9">
        <f>SUM(D20:D21)</f>
        <v>11445000</v>
      </c>
      <c r="E22" s="9">
        <f>SUM(E20:E21)</f>
        <v>165000</v>
      </c>
    </row>
    <row r="23" spans="1:5" customFormat="1" ht="22" customHeight="1" thickTop="1" x14ac:dyDescent="0.35">
      <c r="A23" s="1"/>
      <c r="B23" s="7"/>
      <c r="C23" s="7"/>
      <c r="D23" s="7"/>
      <c r="E23" s="7"/>
    </row>
    <row r="24" spans="1:5" customFormat="1" ht="22" customHeight="1" x14ac:dyDescent="0.35">
      <c r="A24" s="6" t="s">
        <v>73</v>
      </c>
      <c r="B24" s="3"/>
      <c r="C24" s="3"/>
      <c r="D24" s="3"/>
      <c r="E24" s="3"/>
    </row>
    <row r="25" spans="1:5" customFormat="1" ht="22" customHeight="1" x14ac:dyDescent="0.35">
      <c r="A25" s="6" t="s">
        <v>74</v>
      </c>
      <c r="B25" s="3"/>
      <c r="C25" s="3"/>
      <c r="D25" s="3"/>
      <c r="E25" s="3"/>
    </row>
    <row r="26" spans="1:5" customFormat="1" ht="22" customHeight="1" x14ac:dyDescent="0.35">
      <c r="A26" s="6" t="s">
        <v>75</v>
      </c>
      <c r="B26" s="3"/>
      <c r="C26" s="3"/>
      <c r="D26" s="3"/>
      <c r="E26" s="3"/>
    </row>
    <row r="27" spans="1:5" ht="22" customHeight="1" x14ac:dyDescent="0.35">
      <c r="A27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Sliga, Brandon J</dc:creator>
  <cp:lastModifiedBy>Sliga, Brandon J</cp:lastModifiedBy>
  <dcterms:created xsi:type="dcterms:W3CDTF">2025-11-21T22:58:28Z</dcterms:created>
  <dcterms:modified xsi:type="dcterms:W3CDTF">2025-12-19T01:54:47Z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2025-11-21T22:58:32Z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312cfbce-8c2a-4f9d-883c-baa89c53cefa</vt:lpwstr>
  </property>
  <property fmtid="{D5CDD505-2E9C-101B-9397-08002B2CF9AE}" pid="8" name="MSIP_Label_320df1db-9955-4087-a541-42c2f5a9332e_ContentBits">
    <vt:lpwstr>0</vt:lpwstr>
  </property>
  <property fmtid="{D5CDD505-2E9C-101B-9397-08002B2CF9AE}" pid="9" name="MSIP_Label_320df1db-9955-4087-a541-42c2f5a9332e_Tag">
    <vt:lpwstr>10, 3, 0, 1</vt:lpwstr>
  </property>
</Properties>
</file>