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bank-my.sharepoint.com/personal/brandon_sliga_usbank_com/Documents/Desktop/Leverage Shares/"/>
    </mc:Choice>
  </mc:AlternateContent>
  <xr:revisionPtr revIDLastSave="9" documentId="8_{7A3D3AE8-CF7C-4795-BBBD-0ED675813984}" xr6:coauthVersionLast="47" xr6:coauthVersionMax="47" xr10:uidLastSave="{79D3DC78-4645-4101-99F5-875225EDAB52}"/>
  <bookViews>
    <workbookView xWindow="-110" yWindow="-110" windowWidth="19420" windowHeight="10300" xr2:uid="{3E1E9B0F-7A34-4729-AD21-74265186B28F}"/>
  </bookViews>
  <sheets>
    <sheet name="Sheet9" sheetId="1" r:id="rId1"/>
    <sheet name="Sheet10" sheetId="9" r:id="rId2"/>
    <sheet name="Sheet11" sheetId="10" r:id="rId3"/>
    <sheet name="Sheet12" sheetId="11" r:id="rId4"/>
    <sheet name="Sheet13" sheetId="12" r:id="rId5"/>
    <sheet name="Sheet14" sheetId="13" r:id="rId6"/>
    <sheet name="Sheet16" sheetId="15" r:id="rId7"/>
    <sheet name="Sheet17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6" l="1"/>
  <c r="B14" i="16" l="1"/>
  <c r="F16" i="15"/>
  <c r="E16" i="15"/>
  <c r="D16" i="15"/>
  <c r="C16" i="15"/>
  <c r="B16" i="15"/>
  <c r="F15" i="13"/>
  <c r="E15" i="13"/>
  <c r="D15" i="13"/>
  <c r="C15" i="13"/>
  <c r="B15" i="13"/>
  <c r="F15" i="12"/>
  <c r="E15" i="12"/>
  <c r="D15" i="12"/>
  <c r="B15" i="12"/>
  <c r="F14" i="11"/>
  <c r="E14" i="11"/>
  <c r="D14" i="11"/>
  <c r="C14" i="11"/>
  <c r="B14" i="11"/>
  <c r="F14" i="10"/>
  <c r="E14" i="10"/>
  <c r="D14" i="10"/>
  <c r="C14" i="10"/>
  <c r="B14" i="10"/>
  <c r="F15" i="9"/>
  <c r="E15" i="9"/>
  <c r="D15" i="9"/>
  <c r="C15" i="9"/>
  <c r="B15" i="9"/>
  <c r="B9" i="16" l="1"/>
  <c r="F10" i="15" l="1"/>
  <c r="E10" i="15"/>
  <c r="D10" i="15"/>
  <c r="C10" i="15"/>
  <c r="B10" i="15"/>
  <c r="F5" i="15"/>
  <c r="E5" i="15"/>
  <c r="D5" i="15"/>
  <c r="C5" i="15"/>
  <c r="B5" i="15"/>
  <c r="F5" i="13"/>
  <c r="E5" i="13"/>
  <c r="D5" i="13"/>
  <c r="C5" i="13"/>
  <c r="B5" i="13"/>
  <c r="C10" i="13"/>
  <c r="D10" i="13"/>
  <c r="E10" i="13"/>
  <c r="F10" i="13"/>
  <c r="B10" i="13"/>
  <c r="C9" i="12"/>
  <c r="C10" i="12" s="1"/>
  <c r="D9" i="12"/>
  <c r="D10" i="12" s="1"/>
  <c r="E9" i="12"/>
  <c r="E10" i="12" s="1"/>
  <c r="F9" i="12"/>
  <c r="F10" i="12"/>
  <c r="B9" i="12"/>
  <c r="B10" i="12" s="1"/>
  <c r="C9" i="11"/>
  <c r="C10" i="11" s="1"/>
  <c r="D9" i="11"/>
  <c r="D10" i="11" s="1"/>
  <c r="E9" i="11"/>
  <c r="E10" i="11" s="1"/>
  <c r="F9" i="11"/>
  <c r="F10" i="11" s="1"/>
  <c r="B9" i="11"/>
  <c r="B10" i="11" s="1"/>
  <c r="C9" i="10"/>
  <c r="C10" i="10" s="1"/>
  <c r="D9" i="10"/>
  <c r="D10" i="10" s="1"/>
  <c r="E9" i="10"/>
  <c r="E10" i="10" s="1"/>
  <c r="F9" i="10"/>
  <c r="F10" i="10" s="1"/>
  <c r="B9" i="10"/>
  <c r="B10" i="10" s="1"/>
  <c r="C9" i="9"/>
  <c r="C10" i="9" s="1"/>
  <c r="D9" i="9"/>
  <c r="D10" i="9" s="1"/>
  <c r="E9" i="9"/>
  <c r="F9" i="9"/>
  <c r="E10" i="9"/>
  <c r="F10" i="9"/>
  <c r="B10" i="9"/>
  <c r="B9" i="9"/>
  <c r="B15" i="16"/>
  <c r="B10" i="16"/>
  <c r="F20" i="15"/>
  <c r="E20" i="15"/>
  <c r="D20" i="15"/>
  <c r="C20" i="15"/>
  <c r="B20" i="15"/>
  <c r="F17" i="15"/>
  <c r="E17" i="15"/>
  <c r="D17" i="15"/>
  <c r="C17" i="15"/>
  <c r="B17" i="15"/>
  <c r="F19" i="13"/>
  <c r="E19" i="13"/>
  <c r="D19" i="13"/>
  <c r="C19" i="13"/>
  <c r="B19" i="13"/>
  <c r="F16" i="13"/>
  <c r="E16" i="13"/>
  <c r="D16" i="13"/>
  <c r="C16" i="13"/>
  <c r="B16" i="13"/>
  <c r="F19" i="12"/>
  <c r="E19" i="12"/>
  <c r="D19" i="12"/>
  <c r="C19" i="12"/>
  <c r="B19" i="12"/>
  <c r="F16" i="12"/>
  <c r="E16" i="12"/>
  <c r="D16" i="12"/>
  <c r="C16" i="12"/>
  <c r="B16" i="12"/>
  <c r="F18" i="11"/>
  <c r="E18" i="11"/>
  <c r="D18" i="11"/>
  <c r="C18" i="11"/>
  <c r="B18" i="11"/>
  <c r="F15" i="11"/>
  <c r="E15" i="11"/>
  <c r="D15" i="11"/>
  <c r="C15" i="11"/>
  <c r="B15" i="11"/>
  <c r="F18" i="10"/>
  <c r="E18" i="10"/>
  <c r="D18" i="10"/>
  <c r="C18" i="10"/>
  <c r="B18" i="10"/>
  <c r="F15" i="10"/>
  <c r="E15" i="10"/>
  <c r="D15" i="10"/>
  <c r="C15" i="10"/>
  <c r="B15" i="10"/>
  <c r="F19" i="9"/>
  <c r="E19" i="9"/>
  <c r="D19" i="9"/>
  <c r="C19" i="9"/>
  <c r="B19" i="9"/>
  <c r="F16" i="9"/>
  <c r="E16" i="9"/>
  <c r="D16" i="9"/>
  <c r="C16" i="9"/>
  <c r="B16" i="9"/>
  <c r="F11" i="1"/>
  <c r="F12" i="1" s="1"/>
  <c r="E11" i="1"/>
  <c r="E12" i="1" s="1"/>
  <c r="D11" i="1"/>
  <c r="D12" i="1" s="1"/>
  <c r="C11" i="1"/>
  <c r="C12" i="1" s="1"/>
  <c r="B12" i="1"/>
  <c r="B11" i="1"/>
  <c r="F22" i="1"/>
  <c r="F23" i="1" s="1"/>
  <c r="E22" i="1"/>
  <c r="D22" i="1"/>
  <c r="C22" i="1"/>
  <c r="B22" i="1"/>
  <c r="F18" i="1"/>
  <c r="E18" i="1"/>
  <c r="D18" i="1"/>
  <c r="C18" i="1"/>
  <c r="B18" i="1"/>
  <c r="B23" i="1" s="1"/>
  <c r="D20" i="9" l="1"/>
  <c r="D21" i="9" s="1"/>
  <c r="B19" i="16"/>
  <c r="B20" i="16" s="1"/>
  <c r="F21" i="15"/>
  <c r="C11" i="15"/>
  <c r="B11" i="15"/>
  <c r="D11" i="15"/>
  <c r="E11" i="15"/>
  <c r="F11" i="15"/>
  <c r="C21" i="15"/>
  <c r="B21" i="15"/>
  <c r="B22" i="15" s="1"/>
  <c r="E11" i="13"/>
  <c r="D11" i="13"/>
  <c r="B11" i="13"/>
  <c r="F11" i="13"/>
  <c r="C11" i="13"/>
  <c r="E20" i="12"/>
  <c r="E21" i="12" s="1"/>
  <c r="B20" i="12"/>
  <c r="B21" i="12" s="1"/>
  <c r="B19" i="11"/>
  <c r="B20" i="11" s="1"/>
  <c r="F19" i="10"/>
  <c r="F20" i="10" s="1"/>
  <c r="C20" i="9"/>
  <c r="C21" i="9" s="1"/>
  <c r="E20" i="9"/>
  <c r="E21" i="9" s="1"/>
  <c r="D21" i="15"/>
  <c r="D22" i="15" s="1"/>
  <c r="E21" i="15"/>
  <c r="B20" i="13"/>
  <c r="C20" i="13"/>
  <c r="F20" i="13"/>
  <c r="D20" i="13"/>
  <c r="D21" i="13" s="1"/>
  <c r="E20" i="13"/>
  <c r="E21" i="13" s="1"/>
  <c r="F20" i="12"/>
  <c r="F21" i="12" s="1"/>
  <c r="C20" i="12"/>
  <c r="C21" i="12" s="1"/>
  <c r="D20" i="12"/>
  <c r="D21" i="12" s="1"/>
  <c r="C19" i="11"/>
  <c r="C20" i="11" s="1"/>
  <c r="D19" i="11"/>
  <c r="D20" i="11" s="1"/>
  <c r="E19" i="11"/>
  <c r="E20" i="11" s="1"/>
  <c r="F19" i="11"/>
  <c r="F20" i="11" s="1"/>
  <c r="B19" i="10"/>
  <c r="B20" i="10" s="1"/>
  <c r="C19" i="10"/>
  <c r="C20" i="10" s="1"/>
  <c r="D19" i="10"/>
  <c r="D20" i="10" s="1"/>
  <c r="E19" i="10"/>
  <c r="E20" i="10" s="1"/>
  <c r="F20" i="9"/>
  <c r="F21" i="9" s="1"/>
  <c r="B20" i="9"/>
  <c r="B21" i="9" s="1"/>
  <c r="F24" i="1"/>
  <c r="B24" i="1"/>
  <c r="C23" i="1"/>
  <c r="C24" i="1" s="1"/>
  <c r="D23" i="1"/>
  <c r="D24" i="1" s="1"/>
  <c r="E23" i="1"/>
  <c r="E24" i="1" s="1"/>
  <c r="F22" i="15" l="1"/>
  <c r="C22" i="15"/>
  <c r="E22" i="15"/>
  <c r="B21" i="13"/>
  <c r="C21" i="13"/>
  <c r="F21" i="13"/>
</calcChain>
</file>

<file path=xl/sharedStrings.xml><?xml version="1.0" encoding="utf-8"?>
<sst xmlns="http://schemas.openxmlformats.org/spreadsheetml/2006/main" count="259" uniqueCount="105">
  <si>
    <t>NET INCREASE (DECREASE) IN NET ASSETS RESULTING FROM OPERATIONS</t>
  </si>
  <si>
    <t>Net realized and unrealized gain (loss)</t>
  </si>
  <si>
    <t>Net change in unrealized appreciation (depreciation)</t>
  </si>
  <si>
    <t>Written option contracts</t>
  </si>
  <si>
    <t>Investments</t>
  </si>
  <si>
    <t>Net change in unrealized appreciation (depreciation) on:</t>
  </si>
  <si>
    <t>Net realized gain (loss)</t>
  </si>
  <si>
    <t>Written option contracts expired or closed</t>
  </si>
  <si>
    <t>Net realized gain (loss) from:</t>
  </si>
  <si>
    <t>REALIZED AND UNREALIZED GAIN (LOSS)</t>
  </si>
  <si>
    <t>NET INVESTMENT INCOME</t>
  </si>
  <si>
    <t>Total expenses</t>
  </si>
  <si>
    <t>Other expenses and fees</t>
  </si>
  <si>
    <t>Investment advisory fee</t>
  </si>
  <si>
    <t>EXPENSES:</t>
  </si>
  <si>
    <t>Total investment income</t>
  </si>
  <si>
    <t>Interest income</t>
  </si>
  <si>
    <t>Dividend income</t>
  </si>
  <si>
    <t>INVESTMENT INCOME:</t>
  </si>
  <si>
    <t>(87,240</t>
  </si>
  <si>
    <t>Swap contracts</t>
  </si>
  <si>
    <t>(2,346,456</t>
  </si>
  <si>
    <t>–</t>
  </si>
  <si>
    <t>NET INVESTMENT LOSS</t>
  </si>
  <si>
    <t>(37,564</t>
  </si>
  <si>
    <t>(383,840</t>
  </si>
  <si>
    <t>(89,166</t>
  </si>
  <si>
    <t>(15,800</t>
  </si>
  <si>
    <t>(138,479</t>
  </si>
  <si>
    <t>NET INVESTMENT INCOME/(LOSS)</t>
  </si>
  <si>
    <t>(659,894</t>
  </si>
  <si>
    <t>(76,224</t>
  </si>
  <si>
    <t>(592,419</t>
  </si>
  <si>
    <t>(1,910,123</t>
  </si>
  <si>
    <t>(13,872,424</t>
  </si>
  <si>
    <t>(226,477</t>
  </si>
  <si>
    <t>(1,194,402</t>
  </si>
  <si>
    <t>(5,128,322</t>
  </si>
  <si>
    <t>(410,357</t>
  </si>
  <si>
    <t>(8,901</t>
  </si>
  <si>
    <t>(1,197,516</t>
  </si>
  <si>
    <t>(83,586</t>
  </si>
  <si>
    <t>(258</t>
  </si>
  <si>
    <t>(10,060</t>
  </si>
  <si>
    <t>(2,192,660</t>
  </si>
  <si>
    <r>
      <t>Leverage Shares 2X Long XYZ Daily ETF</t>
    </r>
    <r>
      <rPr>
        <b/>
        <vertAlign val="superscript"/>
        <sz val="10"/>
        <color rgb="FF000000"/>
        <rFont val="Times New Roman"/>
        <family val="1"/>
      </rPr>
      <t>(a)</t>
    </r>
  </si>
  <si>
    <r>
      <t>Leverage Shares 2X Long AAL Daily ETF</t>
    </r>
    <r>
      <rPr>
        <b/>
        <vertAlign val="superscript"/>
        <sz val="10"/>
        <color rgb="FF000000"/>
        <rFont val="Times New Roman"/>
        <family val="1"/>
      </rPr>
      <t>(a)</t>
    </r>
  </si>
  <si>
    <r>
      <t>Leverage Shares 2X Long ADBE Daily ETF</t>
    </r>
    <r>
      <rPr>
        <b/>
        <vertAlign val="superscript"/>
        <sz val="10"/>
        <color rgb="FF000000"/>
        <rFont val="Times New Roman"/>
        <family val="1"/>
      </rPr>
      <t>(b)</t>
    </r>
  </si>
  <si>
    <r>
      <t>Leverage Shares 2X Long AMD Daily ETF</t>
    </r>
    <r>
      <rPr>
        <b/>
        <vertAlign val="superscript"/>
        <sz val="10"/>
        <color rgb="FF000000"/>
        <rFont val="Times New Roman"/>
        <family val="1"/>
      </rPr>
      <t>(c)</t>
    </r>
  </si>
  <si>
    <r>
      <t>Leverage Shares 2X Long ARM Daily ETF</t>
    </r>
    <r>
      <rPr>
        <b/>
        <vertAlign val="superscript"/>
        <sz val="10"/>
        <color rgb="FF000000"/>
        <rFont val="Times New Roman"/>
        <family val="1"/>
      </rPr>
      <t>(d)</t>
    </r>
  </si>
  <si>
    <r>
      <t>Leverage Shares 2X Long ASML Daily ETF</t>
    </r>
    <r>
      <rPr>
        <b/>
        <vertAlign val="superscript"/>
        <sz val="10"/>
        <color rgb="FF000000"/>
        <rFont val="Times New Roman"/>
        <family val="1"/>
      </rPr>
      <t>(d)</t>
    </r>
  </si>
  <si>
    <t>Leverage Shares 2X Capped Accelerated COIN Monthly ETF(a)</t>
  </si>
  <si>
    <t>Leverage Shares 2X Capped Accelerated MSTR Monthly ETF(a)</t>
  </si>
  <si>
    <t>Leverage Shares 2X Capped Accelerated NVDA Monthly ETF(a)</t>
  </si>
  <si>
    <t>Leverage Shares 2X Capped Accelerated PLTR Monthly ETF(a)</t>
  </si>
  <si>
    <t>Leverage Shares 2X Capped Accelerated TSLA Monthly ETF(a)</t>
  </si>
  <si>
    <t>Leverage Shares 2X Long AVGO Daily ETF(a)</t>
  </si>
  <si>
    <t>Leverage Shares 2X Long BA Daily ETF(b)</t>
  </si>
  <si>
    <t>Leverage Shares 2X Long BBAI Daily ETF(c)</t>
  </si>
  <si>
    <t>Leverage Shares 2X Long BLSH Daily ETF(d)</t>
  </si>
  <si>
    <t>Leverage Shares 2X Long BMNR Daily ETF(d)</t>
  </si>
  <si>
    <t>Leverage Shares 2X Long BULL Daily ETF(a)</t>
  </si>
  <si>
    <t>Leverage Shares 2X Long COIN Daily ETF(b)</t>
  </si>
  <si>
    <t>Leverage Shares 2X Long COST Daily ETF(c)</t>
  </si>
  <si>
    <t>Leverage Shares 2X Long CRCL Daily ETF(a)</t>
  </si>
  <si>
    <t>Leverage Shares 2X Long CRM Daily ETF(d)</t>
  </si>
  <si>
    <t>Leverage Shares 2X Long CRWV Daily ETF(a)</t>
  </si>
  <si>
    <t>Leverage Shares 2X Long FIG Daily ETF(b)</t>
  </si>
  <si>
    <t>Leverage Shares 2X Long FUTU Daily ETF(b)</t>
  </si>
  <si>
    <t>Leverage Shares 2X Long GLXY Daily ETF(c)</t>
  </si>
  <si>
    <t>Leverage Shares 2X Long HOOD Daily ETF(d)</t>
  </si>
  <si>
    <t>Leverage Shares 2X Long MP Daily ETF(a)</t>
  </si>
  <si>
    <t>Leverage Shares 2X Long NBIS Daily ETF(a)</t>
  </si>
  <si>
    <t>Leverage Shares 2X Long NVDA Daily ETF(b)</t>
  </si>
  <si>
    <t>Leverage Shares 2X Long PANW Daily ETF(c)</t>
  </si>
  <si>
    <t>Leverage Shares 2X Long PLTR Daily ETF(d)</t>
  </si>
  <si>
    <t>Leverage Shares 2X Long PYPL Daily ETF(a)</t>
  </si>
  <si>
    <t>Leverage Shares 2X Long RTX Daily ETF(b)</t>
  </si>
  <si>
    <t>Leverage Shares 2X Long TSLA Daily ETF(c)</t>
  </si>
  <si>
    <t>Leverage Shares 2X Long TSM Daily ETF(d)</t>
  </si>
  <si>
    <t>Leverage Shares 2X Long UNH Daily ETF(e)</t>
  </si>
  <si>
    <t>(a) Inception date of the Fund was August 12, 2025.</t>
  </si>
  <si>
    <t>Broker interest expense</t>
  </si>
  <si>
    <t>(a) Inception date of the Fund was July 10, 2025.</t>
  </si>
  <si>
    <t>(b) Inception date of the Fund was March 20, 2025.</t>
  </si>
  <si>
    <t>(c) Inception date of the Fund was January 23, 2025.</t>
  </si>
  <si>
    <t>(d) Inception date of the Fund was January 13, 2025.</t>
  </si>
  <si>
    <t>(a) Inception date of the Fund was May 15, 2025.</t>
  </si>
  <si>
    <t>(b) Inception date of the Fund was June 12, 2025.</t>
  </si>
  <si>
    <t>(c) Inception date of the Fund was August 20, 2025.</t>
  </si>
  <si>
    <t>(d) Inception date of the Fund was October 24, 2025.</t>
  </si>
  <si>
    <t>(a) Inception date of the Fund was August 8, 2025.</t>
  </si>
  <si>
    <t>(b) Inception date of the Fund was March 13, 2025.</t>
  </si>
  <si>
    <t>(c) Inception date of the Fund was September 17, 2025.</t>
  </si>
  <si>
    <t>(d) Inception date of the Fund was April 3, 2025.</t>
  </si>
  <si>
    <t>(b) Inception date of the Fund was October 13, 2025.</t>
  </si>
  <si>
    <t>(d) Inception date of the Fund was March 20, 2025.</t>
  </si>
  <si>
    <t>(a) Inception date of the Fund was October 24, 2025.</t>
  </si>
  <si>
    <t>(b) Inception date of the Fund was December 12, 2024.</t>
  </si>
  <si>
    <t>(c) Inception date of the Fund was March 20, 2025.</t>
  </si>
  <si>
    <t>(d) Inception date of the Fund was April 24, 2025.</t>
  </si>
  <si>
    <t>(a) Inception date of the Fund was April 3, 2025.</t>
  </si>
  <si>
    <t>(b) Inception date of the Fund was June 5, 2025.</t>
  </si>
  <si>
    <t>(c) Inception date of the Fund was December 12, 2024.</t>
  </si>
  <si>
    <t>(e) Inception date of the Fund was July 21,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</si>
</sst>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b/>
      <vertAlign val="superscript"/>
      <sz val="10"/>
      <color rgb="FF000000"/>
      <name val="Times New Roman"/>
      <family val="1"/>
    </font>
    <font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4" fillId="0" borderId="3" xfId="0" applyFont="1" applyBorder="1" applyAlignment="1">
      <alignment horizontal="right" vertical="center" wrapText="1" indent="1"/>
    </xf>
    <xf numFmtId="0" fontId="5" fillId="0" borderId="0" xfId="0" applyFont="1" applyAlignment="1">
      <alignment horizontal="left" vertical="center" wrapText="1" indent="2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 indent="1"/>
    </xf>
    <xf numFmtId="3" fontId="5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 indent="1"/>
    </xf>
    <xf numFmtId="3" fontId="5" fillId="0" borderId="3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 indent="1"/>
    </xf>
    <xf numFmtId="3" fontId="4" fillId="0" borderId="0" xfId="0" applyNumberFormat="1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164" fontId="2" fillId="0" borderId="0" xfId="0" applyNumberFormat="1" applyFont="1"/>
    <xf numFmtId="164" fontId="4" fillId="0" borderId="3" xfId="0" applyNumberFormat="1" applyFont="1" applyBorder="1" applyAlignment="1">
      <alignment horizontal="right" vertical="center" wrapText="1" indent="1"/>
    </xf>
    <xf numFmtId="164" fontId="5" fillId="0" borderId="0" xfId="0" applyNumberFormat="1" applyFont="1" applyAlignment="1">
      <alignment horizontal="left" vertical="center" wrapText="1" indent="2"/>
    </xf>
    <xf numFmtId="164" fontId="5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horizontal="left" vertical="center" wrapText="1" indent="1"/>
    </xf>
    <xf numFmtId="164" fontId="5" fillId="0" borderId="2" xfId="0" applyNumberFormat="1" applyFont="1" applyBorder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 indent="1"/>
    </xf>
    <xf numFmtId="164" fontId="5" fillId="0" borderId="3" xfId="0" applyNumberFormat="1" applyFont="1" applyBorder="1" applyAlignment="1">
      <alignment horizontal="right" vertical="center" wrapText="1"/>
    </xf>
    <xf numFmtId="164" fontId="1" fillId="0" borderId="0" xfId="0" applyNumberFormat="1" applyFont="1" applyAlignment="1">
      <alignment horizontal="left" vertical="center" wrapText="1" indent="1"/>
    </xf>
    <xf numFmtId="164" fontId="4" fillId="0" borderId="0" xfId="0" applyNumberFormat="1" applyFont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41" fontId="5" fillId="0" borderId="2" xfId="0" applyNumberFormat="1" applyFont="1" applyBorder="1" applyAlignment="1">
      <alignment horizontal="right" vertical="center" wrapText="1"/>
    </xf>
    <xf numFmtId="41" fontId="4" fillId="0" borderId="3" xfId="0" applyNumberFormat="1" applyFont="1" applyBorder="1" applyAlignment="1">
      <alignment horizontal="right" vertical="center" wrapText="1" indent="1"/>
    </xf>
    <xf numFmtId="41" fontId="5" fillId="0" borderId="0" xfId="0" applyNumberFormat="1" applyFont="1" applyAlignment="1">
      <alignment horizontal="right" vertical="center" wrapText="1"/>
    </xf>
    <xf numFmtId="41" fontId="4" fillId="0" borderId="0" xfId="0" applyNumberFormat="1" applyFont="1" applyAlignment="1">
      <alignment horizontal="right" vertical="center" wrapText="1" indent="1"/>
    </xf>
    <xf numFmtId="41" fontId="5" fillId="0" borderId="3" xfId="0" applyNumberFormat="1" applyFont="1" applyBorder="1" applyAlignment="1">
      <alignment horizontal="right" vertical="center" wrapText="1"/>
    </xf>
    <xf numFmtId="41" fontId="4" fillId="0" borderId="0" xfId="0" applyNumberFormat="1" applyFont="1" applyAlignment="1">
      <alignment horizontal="right" vertical="center" wrapText="1"/>
    </xf>
    <xf numFmtId="41" fontId="5" fillId="0" borderId="1" xfId="0" applyNumberFormat="1" applyFont="1" applyBorder="1" applyAlignment="1">
      <alignment horizontal="right" vertical="center" wrapText="1"/>
    </xf>
    <xf numFmtId="41" fontId="2" fillId="0" borderId="0" xfId="0" applyNumberFormat="1" applyFont="1"/>
    <xf numFmtId="164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vertical="center"/>
    </xf>
    <xf numFmtId="37" fontId="5" fillId="0" borderId="1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 indent="1"/>
    </xf>
    <xf numFmtId="3" fontId="4" fillId="0" borderId="0" xfId="0" applyNumberFormat="1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41" fontId="4" fillId="0" borderId="3" xfId="0" applyNumberFormat="1" applyFont="1" applyBorder="1" applyAlignment="1">
      <alignment horizontal="right" vertical="center" wrapText="1" indent="1"/>
    </xf>
    <xf numFmtId="41" fontId="4" fillId="0" borderId="0" xfId="0" applyNumberFormat="1" applyFont="1" applyAlignment="1">
      <alignment horizontal="right" vertical="center" wrapText="1" indent="1"/>
    </xf>
    <xf numFmtId="164" fontId="5" fillId="0" borderId="0" xfId="0" applyNumberFormat="1" applyFont="1" applyFill="1" applyAlignment="1">
      <alignment horizontal="right" vertical="center" wrapText="1"/>
    </xf>
    <xf numFmtId="164" fontId="5" fillId="0" borderId="2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Fill="1" applyAlignment="1">
      <alignment horizontal="right" vertical="center" wrapText="1"/>
    </xf>
    <xf numFmtId="41" fontId="5" fillId="0" borderId="0" xfId="0" applyNumberFormat="1" applyFont="1" applyFill="1" applyAlignment="1">
      <alignment horizontal="right" vertical="center" wrapText="1"/>
    </xf>
    <xf numFmtId="41" fontId="5" fillId="0" borderId="2" xfId="0" applyNumberFormat="1" applyFont="1" applyFill="1" applyBorder="1" applyAlignment="1">
      <alignment horizontal="right" vertical="center" wrapText="1"/>
    </xf>
    <xf numFmtId="41" fontId="4" fillId="0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05D1-C371-4F9D-BED3-1290E7426F75}">
  <dimension ref="A1:F26"/>
  <sheetViews>
    <sheetView tabSelected="1" zoomScale="80" zoomScaleNormal="80" workbookViewId="0"/>
  </sheetViews>
  <sheetFormatPr defaultColWidth="30.6328125" defaultRowHeight="16" customHeight="1" x14ac:dyDescent="0.3"/>
  <cols>
    <col min="1" max="1" width="30.6328125" style="19"/>
    <col min="2" max="2" width="28.26953125" style="19" customWidth="1"/>
    <col min="3" max="16384" width="30.6328125" style="19"/>
  </cols>
  <sheetData>
    <row r="1" spans="1:6" ht="34" customHeight="1" thickBot="1" x14ac:dyDescent="0.35">
      <c r="A1" s="17"/>
      <c r="B1" s="18" t="s">
        <v>51</v>
      </c>
      <c r="C1" s="18" t="s">
        <v>52</v>
      </c>
      <c r="D1" s="18" t="s">
        <v>53</v>
      </c>
      <c r="E1" s="18" t="s">
        <v>54</v>
      </c>
      <c r="F1" s="18" t="s">
        <v>55</v>
      </c>
    </row>
    <row r="2" spans="1:6" ht="16" customHeight="1" x14ac:dyDescent="0.3">
      <c r="A2" s="17" t="s">
        <v>18</v>
      </c>
      <c r="B2" s="20"/>
      <c r="C2" s="20"/>
      <c r="D2" s="20"/>
      <c r="E2" s="20"/>
      <c r="F2" s="20"/>
    </row>
    <row r="3" spans="1:6" ht="16" customHeight="1" x14ac:dyDescent="0.3">
      <c r="A3" s="21" t="s">
        <v>17</v>
      </c>
      <c r="B3" s="22">
        <v>28</v>
      </c>
      <c r="C3" s="22">
        <v>33</v>
      </c>
      <c r="D3" s="22">
        <v>34</v>
      </c>
      <c r="E3" s="22">
        <v>44</v>
      </c>
      <c r="F3" s="22">
        <v>24</v>
      </c>
    </row>
    <row r="4" spans="1:6" ht="16" customHeight="1" thickBot="1" x14ac:dyDescent="0.35">
      <c r="A4" s="21" t="s">
        <v>16</v>
      </c>
      <c r="B4" s="22">
        <v>6244</v>
      </c>
      <c r="C4" s="22">
        <v>5703</v>
      </c>
      <c r="D4" s="22">
        <v>10519</v>
      </c>
      <c r="E4" s="22">
        <v>7358</v>
      </c>
      <c r="F4" s="22">
        <v>9957</v>
      </c>
    </row>
    <row r="5" spans="1:6" ht="16" customHeight="1" thickBot="1" x14ac:dyDescent="0.35">
      <c r="A5" s="24" t="s">
        <v>15</v>
      </c>
      <c r="B5" s="25">
        <v>6272</v>
      </c>
      <c r="C5" s="25">
        <v>5736</v>
      </c>
      <c r="D5" s="25">
        <v>10553</v>
      </c>
      <c r="E5" s="25">
        <v>7402</v>
      </c>
      <c r="F5" s="25">
        <v>9981</v>
      </c>
    </row>
    <row r="6" spans="1:6" ht="16" customHeight="1" x14ac:dyDescent="0.3">
      <c r="A6" s="23"/>
      <c r="B6" s="20"/>
      <c r="C6" s="20"/>
      <c r="D6" s="20"/>
      <c r="E6" s="20"/>
      <c r="F6" s="20"/>
    </row>
    <row r="7" spans="1:6" ht="16" customHeight="1" x14ac:dyDescent="0.3">
      <c r="A7" s="17" t="s">
        <v>14</v>
      </c>
      <c r="B7" s="26"/>
      <c r="C7" s="26"/>
      <c r="D7" s="26"/>
      <c r="E7" s="26"/>
      <c r="F7" s="26"/>
    </row>
    <row r="8" spans="1:6" ht="16" customHeight="1" x14ac:dyDescent="0.3">
      <c r="A8" s="21" t="s">
        <v>13</v>
      </c>
      <c r="B8" s="22">
        <v>1212</v>
      </c>
      <c r="C8" s="22">
        <v>1022</v>
      </c>
      <c r="D8" s="22">
        <v>1962</v>
      </c>
      <c r="E8" s="22">
        <v>1368</v>
      </c>
      <c r="F8" s="22">
        <v>1911</v>
      </c>
    </row>
    <row r="9" spans="1:6" ht="16" customHeight="1" x14ac:dyDescent="0.3">
      <c r="A9" s="21" t="s">
        <v>82</v>
      </c>
      <c r="B9" s="22">
        <v>11</v>
      </c>
      <c r="C9" s="22">
        <v>20</v>
      </c>
      <c r="D9" s="22">
        <v>17</v>
      </c>
      <c r="E9" s="22">
        <v>40</v>
      </c>
      <c r="F9" s="22">
        <v>6</v>
      </c>
    </row>
    <row r="10" spans="1:6" ht="16" customHeight="1" thickBot="1" x14ac:dyDescent="0.35">
      <c r="A10" s="21" t="s">
        <v>12</v>
      </c>
      <c r="B10" s="22">
        <v>26</v>
      </c>
      <c r="C10" s="22">
        <v>25</v>
      </c>
      <c r="D10" s="22">
        <v>29</v>
      </c>
      <c r="E10" s="22">
        <v>53</v>
      </c>
      <c r="F10" s="22">
        <v>52</v>
      </c>
    </row>
    <row r="11" spans="1:6" ht="16" customHeight="1" thickBot="1" x14ac:dyDescent="0.35">
      <c r="A11" s="24" t="s">
        <v>11</v>
      </c>
      <c r="B11" s="27">
        <f>SUM(B8:B10)</f>
        <v>1249</v>
      </c>
      <c r="C11" s="27">
        <f>SUM(C8:C10)</f>
        <v>1067</v>
      </c>
      <c r="D11" s="27">
        <f>SUM(D8:D10)</f>
        <v>2008</v>
      </c>
      <c r="E11" s="27">
        <f>SUM(E8:E10)</f>
        <v>1461</v>
      </c>
      <c r="F11" s="27">
        <f>SUM(F8:F10)</f>
        <v>1969</v>
      </c>
    </row>
    <row r="12" spans="1:6" ht="16" customHeight="1" thickBot="1" x14ac:dyDescent="0.35">
      <c r="A12" s="28" t="s">
        <v>10</v>
      </c>
      <c r="B12" s="25">
        <f>B5-B11</f>
        <v>5023</v>
      </c>
      <c r="C12" s="25">
        <f>C5-C11</f>
        <v>4669</v>
      </c>
      <c r="D12" s="25">
        <f>D5-D11</f>
        <v>8545</v>
      </c>
      <c r="E12" s="25">
        <f>E5-E11</f>
        <v>5941</v>
      </c>
      <c r="F12" s="25">
        <f>F5-F11</f>
        <v>8012</v>
      </c>
    </row>
    <row r="13" spans="1:6" ht="16" customHeight="1" x14ac:dyDescent="0.3">
      <c r="A13" s="23"/>
      <c r="B13" s="20"/>
      <c r="C13" s="20"/>
      <c r="D13" s="20"/>
      <c r="E13" s="20"/>
      <c r="F13" s="20"/>
    </row>
    <row r="14" spans="1:6" ht="26" customHeight="1" x14ac:dyDescent="0.3">
      <c r="A14" s="17" t="s">
        <v>9</v>
      </c>
      <c r="B14" s="26"/>
      <c r="C14" s="26"/>
      <c r="D14" s="26"/>
      <c r="E14" s="26"/>
      <c r="F14" s="26"/>
    </row>
    <row r="15" spans="1:6" ht="16" customHeight="1" x14ac:dyDescent="0.3">
      <c r="A15" s="24" t="s">
        <v>8</v>
      </c>
      <c r="B15" s="29"/>
      <c r="C15" s="29"/>
      <c r="D15" s="29"/>
      <c r="E15" s="29"/>
      <c r="F15" s="29"/>
    </row>
    <row r="16" spans="1:6" ht="16" customHeight="1" x14ac:dyDescent="0.3">
      <c r="A16" s="21" t="s">
        <v>4</v>
      </c>
      <c r="B16" s="22">
        <v>-46337</v>
      </c>
      <c r="C16" s="22">
        <v>-257189</v>
      </c>
      <c r="D16" s="22">
        <v>153543</v>
      </c>
      <c r="E16" s="22">
        <v>239497</v>
      </c>
      <c r="F16" s="22">
        <v>536530</v>
      </c>
    </row>
    <row r="17" spans="1:6" ht="23" customHeight="1" thickBot="1" x14ac:dyDescent="0.35">
      <c r="A17" s="21" t="s">
        <v>7</v>
      </c>
      <c r="B17" s="22">
        <v>160088</v>
      </c>
      <c r="C17" s="22">
        <v>56208</v>
      </c>
      <c r="D17" s="22">
        <v>50130</v>
      </c>
      <c r="E17" s="22">
        <v>-59681</v>
      </c>
      <c r="F17" s="22">
        <v>-312156</v>
      </c>
    </row>
    <row r="18" spans="1:6" ht="16" customHeight="1" thickBot="1" x14ac:dyDescent="0.35">
      <c r="A18" s="24" t="s">
        <v>6</v>
      </c>
      <c r="B18" s="25">
        <f>SUM(B16:B17)</f>
        <v>113751</v>
      </c>
      <c r="C18" s="25">
        <f>SUM(C16:C17)</f>
        <v>-200981</v>
      </c>
      <c r="D18" s="25">
        <f>SUM(D16:D17)</f>
        <v>203673</v>
      </c>
      <c r="E18" s="25">
        <f>SUM(E16:E17)</f>
        <v>179816</v>
      </c>
      <c r="F18" s="25">
        <f>SUM(F16:F17)</f>
        <v>224374</v>
      </c>
    </row>
    <row r="19" spans="1:6" ht="25" customHeight="1" x14ac:dyDescent="0.3">
      <c r="A19" s="24" t="s">
        <v>5</v>
      </c>
      <c r="B19" s="29"/>
      <c r="C19" s="29"/>
      <c r="D19" s="29"/>
      <c r="E19" s="29"/>
      <c r="F19" s="29"/>
    </row>
    <row r="20" spans="1:6" ht="16" customHeight="1" x14ac:dyDescent="0.3">
      <c r="A20" s="21" t="s">
        <v>4</v>
      </c>
      <c r="B20" s="22">
        <v>136</v>
      </c>
      <c r="C20" s="22">
        <v>106</v>
      </c>
      <c r="D20" s="22">
        <v>128</v>
      </c>
      <c r="E20" s="22">
        <v>80</v>
      </c>
      <c r="F20" s="22">
        <v>255</v>
      </c>
    </row>
    <row r="21" spans="1:6" ht="16" customHeight="1" thickBot="1" x14ac:dyDescent="0.35">
      <c r="A21" s="21" t="s">
        <v>3</v>
      </c>
      <c r="B21" s="22">
        <v>-125</v>
      </c>
      <c r="C21" s="22">
        <v>-98</v>
      </c>
      <c r="D21" s="22">
        <v>-362</v>
      </c>
      <c r="E21" s="22">
        <v>-251</v>
      </c>
      <c r="F21" s="22">
        <v>-139</v>
      </c>
    </row>
    <row r="22" spans="1:6" ht="25.5" customHeight="1" thickBot="1" x14ac:dyDescent="0.35">
      <c r="A22" s="21" t="s">
        <v>2</v>
      </c>
      <c r="B22" s="25">
        <f>SUM(B20:B21)</f>
        <v>11</v>
      </c>
      <c r="C22" s="25">
        <f>SUM(C20:C21)</f>
        <v>8</v>
      </c>
      <c r="D22" s="25">
        <f>SUM(D20:D21)</f>
        <v>-234</v>
      </c>
      <c r="E22" s="25">
        <f>SUM(E20:E21)</f>
        <v>-171</v>
      </c>
      <c r="F22" s="25">
        <f>SUM(F20:F21)</f>
        <v>116</v>
      </c>
    </row>
    <row r="23" spans="1:6" ht="19" customHeight="1" thickBot="1" x14ac:dyDescent="0.35">
      <c r="A23" s="24" t="s">
        <v>1</v>
      </c>
      <c r="B23" s="22">
        <f>B18+B22</f>
        <v>113762</v>
      </c>
      <c r="C23" s="22">
        <f>C18+C22</f>
        <v>-200973</v>
      </c>
      <c r="D23" s="22">
        <f>D18+D22</f>
        <v>203439</v>
      </c>
      <c r="E23" s="22">
        <f>E18+E22</f>
        <v>179645</v>
      </c>
      <c r="F23" s="22">
        <f>F18+F22</f>
        <v>224490</v>
      </c>
    </row>
    <row r="24" spans="1:6" ht="25" customHeight="1" thickBot="1" x14ac:dyDescent="0.35">
      <c r="A24" s="17" t="s">
        <v>0</v>
      </c>
      <c r="B24" s="30">
        <f>B23+B12</f>
        <v>118785</v>
      </c>
      <c r="C24" s="30">
        <f>C23+C12</f>
        <v>-196304</v>
      </c>
      <c r="D24" s="30">
        <f>D23+D12</f>
        <v>211984</v>
      </c>
      <c r="E24" s="30">
        <f>E23+E12</f>
        <v>185586</v>
      </c>
      <c r="F24" s="30">
        <f>F23+F12</f>
        <v>232502</v>
      </c>
    </row>
    <row r="25" spans="1:6" ht="16" customHeight="1" thickTop="1" x14ac:dyDescent="0.3"/>
    <row r="26" spans="1:6" ht="16" customHeight="1" x14ac:dyDescent="0.3">
      <c r="A26" s="40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C18F-6BE5-4036-8E3F-E24BB732BA6A}">
  <dimension ref="A1:F28"/>
  <sheetViews>
    <sheetView zoomScale="80" zoomScaleNormal="80" workbookViewId="0">
      <selection activeCell="F21" sqref="F21"/>
    </sheetView>
  </sheetViews>
  <sheetFormatPr defaultColWidth="31.6328125" defaultRowHeight="16" customHeight="1" x14ac:dyDescent="0.3"/>
  <cols>
    <col min="1" max="16384" width="31.6328125" style="2"/>
  </cols>
  <sheetData>
    <row r="1" spans="1:6" ht="33.5" customHeight="1" thickBot="1" x14ac:dyDescent="0.35">
      <c r="A1" s="1"/>
      <c r="B1" s="31" t="s">
        <v>46</v>
      </c>
      <c r="C1" s="31" t="s">
        <v>47</v>
      </c>
      <c r="D1" s="31" t="s">
        <v>48</v>
      </c>
      <c r="E1" s="31" t="s">
        <v>49</v>
      </c>
      <c r="F1" s="31" t="s">
        <v>50</v>
      </c>
    </row>
    <row r="2" spans="1:6" ht="16" customHeight="1" x14ac:dyDescent="0.3">
      <c r="A2" s="1" t="s">
        <v>18</v>
      </c>
      <c r="B2" s="3"/>
      <c r="C2" s="3"/>
      <c r="D2" s="3"/>
      <c r="E2" s="3"/>
      <c r="F2" s="44"/>
    </row>
    <row r="3" spans="1:6" ht="16" customHeight="1" thickBot="1" x14ac:dyDescent="0.35">
      <c r="A3" s="4" t="s">
        <v>17</v>
      </c>
      <c r="B3" s="6">
        <v>1161</v>
      </c>
      <c r="C3" s="6">
        <v>20962</v>
      </c>
      <c r="D3" s="6">
        <v>35018</v>
      </c>
      <c r="E3" s="6">
        <v>30745</v>
      </c>
      <c r="F3" s="6">
        <v>38383</v>
      </c>
    </row>
    <row r="4" spans="1:6" ht="16" customHeight="1" thickBot="1" x14ac:dyDescent="0.35">
      <c r="A4" s="7" t="s">
        <v>15</v>
      </c>
      <c r="B4" s="8">
        <v>1161</v>
      </c>
      <c r="C4" s="8">
        <v>20962</v>
      </c>
      <c r="D4" s="8">
        <v>35018</v>
      </c>
      <c r="E4" s="8">
        <v>30745</v>
      </c>
      <c r="F4" s="8">
        <v>38383</v>
      </c>
    </row>
    <row r="5" spans="1:6" ht="16" customHeight="1" x14ac:dyDescent="0.3">
      <c r="A5" s="5"/>
      <c r="B5" s="3"/>
      <c r="C5" s="3"/>
      <c r="D5" s="3"/>
      <c r="E5" s="3"/>
      <c r="F5" s="44"/>
    </row>
    <row r="6" spans="1:6" ht="16" customHeight="1" x14ac:dyDescent="0.3">
      <c r="A6" s="1" t="s">
        <v>14</v>
      </c>
      <c r="B6" s="9"/>
      <c r="C6" s="9"/>
      <c r="D6" s="9"/>
      <c r="E6" s="9"/>
      <c r="F6" s="46"/>
    </row>
    <row r="7" spans="1:6" ht="16" customHeight="1" x14ac:dyDescent="0.3">
      <c r="A7" s="4" t="s">
        <v>13</v>
      </c>
      <c r="B7" s="6">
        <v>1935</v>
      </c>
      <c r="C7" s="6">
        <v>35018</v>
      </c>
      <c r="D7" s="6">
        <v>44312</v>
      </c>
      <c r="E7" s="6">
        <v>49443</v>
      </c>
      <c r="F7" s="6">
        <v>63993</v>
      </c>
    </row>
    <row r="8" spans="1:6" ht="16" customHeight="1" thickBot="1" x14ac:dyDescent="0.35">
      <c r="A8" s="21" t="s">
        <v>82</v>
      </c>
      <c r="B8" s="6">
        <v>34</v>
      </c>
      <c r="C8" s="6">
        <v>532</v>
      </c>
      <c r="D8" s="6">
        <v>433</v>
      </c>
      <c r="E8" s="6">
        <v>975</v>
      </c>
      <c r="F8" s="6">
        <v>1197</v>
      </c>
    </row>
    <row r="9" spans="1:6" ht="16" customHeight="1" thickBot="1" x14ac:dyDescent="0.35">
      <c r="A9" s="7" t="s">
        <v>11</v>
      </c>
      <c r="B9" s="10">
        <f>SUM(B7:B8)</f>
        <v>1969</v>
      </c>
      <c r="C9" s="10">
        <f t="shared" ref="C9:F9" si="0">SUM(C7:C8)</f>
        <v>35550</v>
      </c>
      <c r="D9" s="10">
        <f t="shared" si="0"/>
        <v>44745</v>
      </c>
      <c r="E9" s="10">
        <f t="shared" si="0"/>
        <v>50418</v>
      </c>
      <c r="F9" s="10">
        <f t="shared" si="0"/>
        <v>65190</v>
      </c>
    </row>
    <row r="10" spans="1:6" ht="16" customHeight="1" thickBot="1" x14ac:dyDescent="0.35">
      <c r="A10" s="11" t="s">
        <v>23</v>
      </c>
      <c r="B10" s="32">
        <f>B4-B9</f>
        <v>-808</v>
      </c>
      <c r="C10" s="32">
        <f t="shared" ref="C10:F10" si="1">C4-C9</f>
        <v>-14588</v>
      </c>
      <c r="D10" s="32">
        <f t="shared" si="1"/>
        <v>-9727</v>
      </c>
      <c r="E10" s="32">
        <f t="shared" si="1"/>
        <v>-19673</v>
      </c>
      <c r="F10" s="32">
        <f t="shared" si="1"/>
        <v>-26807</v>
      </c>
    </row>
    <row r="11" spans="1:6" ht="16" customHeight="1" x14ac:dyDescent="0.3">
      <c r="A11" s="5"/>
      <c r="B11" s="3"/>
      <c r="C11" s="3"/>
      <c r="D11" s="3"/>
      <c r="E11" s="3"/>
      <c r="F11" s="44"/>
    </row>
    <row r="12" spans="1:6" ht="16" customHeight="1" x14ac:dyDescent="0.3">
      <c r="A12" s="1" t="s">
        <v>9</v>
      </c>
      <c r="B12" s="12"/>
      <c r="C12" s="12"/>
      <c r="D12" s="12"/>
      <c r="E12" s="12"/>
      <c r="F12" s="45"/>
    </row>
    <row r="13" spans="1:6" ht="16" customHeight="1" x14ac:dyDescent="0.3">
      <c r="A13" s="7" t="s">
        <v>8</v>
      </c>
      <c r="B13" s="14">
        <v>129177</v>
      </c>
      <c r="C13" s="13" t="s">
        <v>21</v>
      </c>
      <c r="D13" s="14">
        <v>10656817</v>
      </c>
      <c r="E13" s="14">
        <v>169820</v>
      </c>
      <c r="F13" s="14">
        <v>8929379</v>
      </c>
    </row>
    <row r="14" spans="1:6" ht="16" customHeight="1" x14ac:dyDescent="0.3">
      <c r="A14" s="4" t="s">
        <v>4</v>
      </c>
      <c r="B14" s="22" t="s">
        <v>22</v>
      </c>
      <c r="C14" s="22" t="s">
        <v>22</v>
      </c>
      <c r="D14" s="22">
        <v>-1908354</v>
      </c>
      <c r="E14" s="22" t="s">
        <v>22</v>
      </c>
      <c r="F14" s="22">
        <v>623410</v>
      </c>
    </row>
    <row r="15" spans="1:6" ht="16" customHeight="1" thickBot="1" x14ac:dyDescent="0.35">
      <c r="A15" s="4" t="s">
        <v>20</v>
      </c>
      <c r="B15" s="49">
        <f>44867+3392</f>
        <v>48259</v>
      </c>
      <c r="C15" s="49">
        <f>-2445984+221074</f>
        <v>-2224910</v>
      </c>
      <c r="D15" s="49">
        <f>12556892+67016</f>
        <v>12623908</v>
      </c>
      <c r="E15" s="49">
        <f>18324+514331</f>
        <v>532655</v>
      </c>
      <c r="F15" s="49">
        <f>8340675+24918</f>
        <v>8365593</v>
      </c>
    </row>
    <row r="16" spans="1:6" ht="16" customHeight="1" thickBot="1" x14ac:dyDescent="0.35">
      <c r="A16" s="7" t="s">
        <v>6</v>
      </c>
      <c r="B16" s="50">
        <f>SUM(B14:B15)</f>
        <v>48259</v>
      </c>
      <c r="C16" s="50">
        <f>SUM(C14:C15)</f>
        <v>-2224910</v>
      </c>
      <c r="D16" s="50">
        <f>SUM(D14:D15)</f>
        <v>10715554</v>
      </c>
      <c r="E16" s="50">
        <f>SUM(E14:E15)</f>
        <v>532655</v>
      </c>
      <c r="F16" s="50">
        <f>SUM(F14:F15)</f>
        <v>8989003</v>
      </c>
    </row>
    <row r="17" spans="1:6" ht="26" customHeight="1" x14ac:dyDescent="0.3">
      <c r="A17" s="7" t="s">
        <v>5</v>
      </c>
      <c r="B17" s="51">
        <v>108647</v>
      </c>
      <c r="C17" s="51" t="s">
        <v>19</v>
      </c>
      <c r="D17" s="51">
        <v>5875465</v>
      </c>
      <c r="E17" s="51">
        <v>2164869</v>
      </c>
      <c r="F17" s="51">
        <v>2488623</v>
      </c>
    </row>
    <row r="18" spans="1:6" ht="16" customHeight="1" thickBot="1" x14ac:dyDescent="0.35">
      <c r="A18" s="4" t="s">
        <v>20</v>
      </c>
      <c r="B18" s="49">
        <v>189360</v>
      </c>
      <c r="C18" s="49">
        <v>-208745</v>
      </c>
      <c r="D18" s="49">
        <v>5816767</v>
      </c>
      <c r="E18" s="49">
        <v>1801851</v>
      </c>
      <c r="F18" s="49">
        <v>2433497</v>
      </c>
    </row>
    <row r="19" spans="1:6" ht="26" customHeight="1" thickBot="1" x14ac:dyDescent="0.35">
      <c r="A19" s="4" t="s">
        <v>2</v>
      </c>
      <c r="B19" s="25">
        <f>SUM(B18)</f>
        <v>189360</v>
      </c>
      <c r="C19" s="25">
        <f>SUM(C18)</f>
        <v>-208745</v>
      </c>
      <c r="D19" s="25">
        <f>SUM(D18)</f>
        <v>5816767</v>
      </c>
      <c r="E19" s="25">
        <f>SUM(E18)</f>
        <v>1801851</v>
      </c>
      <c r="F19" s="25">
        <f>SUM(F18)</f>
        <v>2433497</v>
      </c>
    </row>
    <row r="20" spans="1:6" ht="16" customHeight="1" thickBot="1" x14ac:dyDescent="0.35">
      <c r="A20" s="7" t="s">
        <v>1</v>
      </c>
      <c r="B20" s="22">
        <f>B16+B19</f>
        <v>237619</v>
      </c>
      <c r="C20" s="22">
        <f>C16+C19</f>
        <v>-2433655</v>
      </c>
      <c r="D20" s="22">
        <f>D16+D19</f>
        <v>16532321</v>
      </c>
      <c r="E20" s="22">
        <f>E16+E19</f>
        <v>2334506</v>
      </c>
      <c r="F20" s="22">
        <f>F16+F19</f>
        <v>11422500</v>
      </c>
    </row>
    <row r="21" spans="1:6" ht="36" customHeight="1" thickBot="1" x14ac:dyDescent="0.35">
      <c r="A21" s="1" t="s">
        <v>0</v>
      </c>
      <c r="B21" s="30">
        <f>B20+B10</f>
        <v>236811</v>
      </c>
      <c r="C21" s="30">
        <f>C20+C10</f>
        <v>-2448243</v>
      </c>
      <c r="D21" s="30">
        <f>D20+D10</f>
        <v>16522594</v>
      </c>
      <c r="E21" s="30">
        <f>E20+E10</f>
        <v>2314833</v>
      </c>
      <c r="F21" s="30">
        <f>F20+F10</f>
        <v>11395693</v>
      </c>
    </row>
    <row r="22" spans="1:6" ht="16" customHeight="1" thickTop="1" x14ac:dyDescent="0.3"/>
    <row r="23" spans="1:6" ht="16" customHeight="1" x14ac:dyDescent="0.3">
      <c r="A23" s="41" t="s">
        <v>83</v>
      </c>
    </row>
    <row r="24" spans="1:6" ht="16" customHeight="1" x14ac:dyDescent="0.3">
      <c r="A24" s="41" t="s">
        <v>84</v>
      </c>
      <c r="B24" s="19"/>
      <c r="C24" s="19"/>
      <c r="D24" s="19"/>
      <c r="E24" s="19"/>
      <c r="F24" s="19"/>
    </row>
    <row r="25" spans="1:6" ht="16" customHeight="1" x14ac:dyDescent="0.3">
      <c r="A25" s="41" t="s">
        <v>85</v>
      </c>
    </row>
    <row r="26" spans="1:6" ht="16" customHeight="1" x14ac:dyDescent="0.3">
      <c r="A26" s="41" t="s">
        <v>86</v>
      </c>
    </row>
    <row r="28" spans="1:6" ht="16" customHeight="1" x14ac:dyDescent="0.3">
      <c r="B28" s="19"/>
      <c r="C28" s="19"/>
      <c r="D28" s="19"/>
      <c r="E28" s="19"/>
      <c r="F28" s="19"/>
    </row>
  </sheetData>
  <mergeCells count="5">
    <mergeCell ref="F11"/>
    <mergeCell ref="F12"/>
    <mergeCell ref="F5"/>
    <mergeCell ref="F6"/>
    <mergeCell ref="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4764-2BF3-4EFE-B8D4-6D6E6C65F045}">
  <dimension ref="A1:F27"/>
  <sheetViews>
    <sheetView topLeftCell="A11" zoomScale="80" zoomScaleNormal="80" workbookViewId="0">
      <selection activeCell="B14" sqref="B14:F17"/>
    </sheetView>
  </sheetViews>
  <sheetFormatPr defaultColWidth="31.6328125" defaultRowHeight="16" customHeight="1" x14ac:dyDescent="0.3"/>
  <cols>
    <col min="1" max="16384" width="31.6328125" style="2"/>
  </cols>
  <sheetData>
    <row r="1" spans="1:6" ht="33.5" customHeight="1" thickBot="1" x14ac:dyDescent="0.35">
      <c r="A1" s="1"/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</row>
    <row r="2" spans="1:6" ht="16" customHeight="1" x14ac:dyDescent="0.3">
      <c r="A2" s="1" t="s">
        <v>18</v>
      </c>
      <c r="B2" s="47"/>
      <c r="C2" s="33"/>
      <c r="D2" s="33"/>
      <c r="E2" s="33"/>
      <c r="F2" s="33"/>
    </row>
    <row r="3" spans="1:6" ht="16" customHeight="1" thickBot="1" x14ac:dyDescent="0.35">
      <c r="A3" s="4" t="s">
        <v>17</v>
      </c>
      <c r="B3" s="34">
        <v>12081</v>
      </c>
      <c r="C3" s="34">
        <v>2937</v>
      </c>
      <c r="D3" s="34">
        <v>5824</v>
      </c>
      <c r="E3" s="34">
        <v>38</v>
      </c>
      <c r="F3" s="34">
        <v>23</v>
      </c>
    </row>
    <row r="4" spans="1:6" ht="16" customHeight="1" thickBot="1" x14ac:dyDescent="0.35">
      <c r="A4" s="7" t="s">
        <v>15</v>
      </c>
      <c r="B4" s="32">
        <v>12081</v>
      </c>
      <c r="C4" s="32">
        <v>2937</v>
      </c>
      <c r="D4" s="32">
        <v>5824</v>
      </c>
      <c r="E4" s="32">
        <v>38</v>
      </c>
      <c r="F4" s="32">
        <v>23</v>
      </c>
    </row>
    <row r="5" spans="1:6" ht="16" customHeight="1" x14ac:dyDescent="0.3">
      <c r="A5" s="5"/>
      <c r="B5" s="47"/>
      <c r="C5" s="33"/>
      <c r="D5" s="33"/>
      <c r="E5" s="33"/>
      <c r="F5" s="33"/>
    </row>
    <row r="6" spans="1:6" ht="16" customHeight="1" x14ac:dyDescent="0.3">
      <c r="A6" s="1" t="s">
        <v>14</v>
      </c>
      <c r="B6" s="48"/>
      <c r="C6" s="35"/>
      <c r="D6" s="35"/>
      <c r="E6" s="35"/>
      <c r="F6" s="35"/>
    </row>
    <row r="7" spans="1:6" ht="16" customHeight="1" x14ac:dyDescent="0.3">
      <c r="A7" s="4" t="s">
        <v>13</v>
      </c>
      <c r="B7" s="34">
        <v>19444</v>
      </c>
      <c r="C7" s="34">
        <v>3353</v>
      </c>
      <c r="D7" s="34">
        <v>19714</v>
      </c>
      <c r="E7" s="34">
        <v>30</v>
      </c>
      <c r="F7" s="34">
        <v>30</v>
      </c>
    </row>
    <row r="8" spans="1:6" ht="16" customHeight="1" thickBot="1" x14ac:dyDescent="0.35">
      <c r="A8" s="21" t="s">
        <v>82</v>
      </c>
      <c r="B8" s="34">
        <v>125</v>
      </c>
      <c r="C8" s="22" t="s">
        <v>22</v>
      </c>
      <c r="D8" s="34">
        <v>409</v>
      </c>
      <c r="E8" s="22" t="s">
        <v>22</v>
      </c>
      <c r="F8" s="22" t="s">
        <v>22</v>
      </c>
    </row>
    <row r="9" spans="1:6" ht="16" customHeight="1" thickBot="1" x14ac:dyDescent="0.35">
      <c r="A9" s="7" t="s">
        <v>11</v>
      </c>
      <c r="B9" s="36">
        <f>SUM(B7:B8)</f>
        <v>19569</v>
      </c>
      <c r="C9" s="36">
        <f t="shared" ref="C9:F9" si="0">SUM(C7:C8)</f>
        <v>3353</v>
      </c>
      <c r="D9" s="36">
        <f t="shared" si="0"/>
        <v>20123</v>
      </c>
      <c r="E9" s="36">
        <f t="shared" si="0"/>
        <v>30</v>
      </c>
      <c r="F9" s="36">
        <f t="shared" si="0"/>
        <v>30</v>
      </c>
    </row>
    <row r="10" spans="1:6" ht="28.5" customHeight="1" thickBot="1" x14ac:dyDescent="0.35">
      <c r="A10" s="11" t="s">
        <v>29</v>
      </c>
      <c r="B10" s="32">
        <f>B4-B9</f>
        <v>-7488</v>
      </c>
      <c r="C10" s="32">
        <f t="shared" ref="C10:F10" si="1">C4-C9</f>
        <v>-416</v>
      </c>
      <c r="D10" s="32">
        <f t="shared" si="1"/>
        <v>-14299</v>
      </c>
      <c r="E10" s="32">
        <f t="shared" si="1"/>
        <v>8</v>
      </c>
      <c r="F10" s="32">
        <f t="shared" si="1"/>
        <v>-7</v>
      </c>
    </row>
    <row r="11" spans="1:6" ht="16" customHeight="1" x14ac:dyDescent="0.3">
      <c r="A11" s="5"/>
      <c r="B11" s="47"/>
      <c r="C11" s="33"/>
      <c r="D11" s="33"/>
      <c r="E11" s="33"/>
      <c r="F11" s="33"/>
    </row>
    <row r="12" spans="1:6" ht="16" customHeight="1" x14ac:dyDescent="0.3">
      <c r="A12" s="1" t="s">
        <v>9</v>
      </c>
      <c r="B12" s="48"/>
      <c r="C12" s="35"/>
      <c r="D12" s="35"/>
      <c r="E12" s="35"/>
      <c r="F12" s="35"/>
    </row>
    <row r="13" spans="1:6" ht="16" customHeight="1" x14ac:dyDescent="0.3">
      <c r="A13" s="7" t="s">
        <v>8</v>
      </c>
      <c r="B13" s="37">
        <v>1147384</v>
      </c>
      <c r="C13" s="37" t="s">
        <v>28</v>
      </c>
      <c r="D13" s="37">
        <v>948038</v>
      </c>
      <c r="E13" s="37" t="s">
        <v>27</v>
      </c>
      <c r="F13" s="37" t="s">
        <v>26</v>
      </c>
    </row>
    <row r="14" spans="1:6" ht="18.5" customHeight="1" thickBot="1" x14ac:dyDescent="0.35">
      <c r="A14" s="4" t="s">
        <v>20</v>
      </c>
      <c r="B14" s="52">
        <f>897905-36405</f>
        <v>861500</v>
      </c>
      <c r="C14" s="52">
        <f>-232782+2686</f>
        <v>-230096</v>
      </c>
      <c r="D14" s="52">
        <f>920993+114428</f>
        <v>1035421</v>
      </c>
      <c r="E14" s="52">
        <f>-15663+14828</f>
        <v>-835</v>
      </c>
      <c r="F14" s="52">
        <f>-89165-31</f>
        <v>-89196</v>
      </c>
    </row>
    <row r="15" spans="1:6" ht="16" customHeight="1" thickBot="1" x14ac:dyDescent="0.35">
      <c r="A15" s="7" t="s">
        <v>6</v>
      </c>
      <c r="B15" s="53">
        <f>SUM(B14)</f>
        <v>861500</v>
      </c>
      <c r="C15" s="53">
        <f>SUM(C14)</f>
        <v>-230096</v>
      </c>
      <c r="D15" s="53">
        <f>SUM(D14)</f>
        <v>1035421</v>
      </c>
      <c r="E15" s="53">
        <f>SUM(E14)</f>
        <v>-835</v>
      </c>
      <c r="F15" s="53">
        <f>SUM(F14)</f>
        <v>-89196</v>
      </c>
    </row>
    <row r="16" spans="1:6" ht="22.5" customHeight="1" x14ac:dyDescent="0.3">
      <c r="A16" s="7" t="s">
        <v>5</v>
      </c>
      <c r="B16" s="54">
        <v>3153322</v>
      </c>
      <c r="C16" s="54" t="s">
        <v>25</v>
      </c>
      <c r="D16" s="54">
        <v>1231370</v>
      </c>
      <c r="E16" s="54" t="s">
        <v>24</v>
      </c>
      <c r="F16" s="54">
        <v>27008</v>
      </c>
    </row>
    <row r="17" spans="1:6" ht="16" customHeight="1" thickBot="1" x14ac:dyDescent="0.35">
      <c r="A17" s="4" t="s">
        <v>20</v>
      </c>
      <c r="B17" s="52">
        <v>3441329</v>
      </c>
      <c r="C17" s="52">
        <v>-293238</v>
      </c>
      <c r="D17" s="52">
        <v>1118992</v>
      </c>
      <c r="E17" s="52">
        <v>-52412</v>
      </c>
      <c r="F17" s="52">
        <v>26950</v>
      </c>
    </row>
    <row r="18" spans="1:6" ht="16" customHeight="1" thickBot="1" x14ac:dyDescent="0.35">
      <c r="A18" s="4" t="s">
        <v>2</v>
      </c>
      <c r="B18" s="32">
        <f>SUM(B17)</f>
        <v>3441329</v>
      </c>
      <c r="C18" s="32">
        <f>SUM(C17)</f>
        <v>-293238</v>
      </c>
      <c r="D18" s="32">
        <f>SUM(D17)</f>
        <v>1118992</v>
      </c>
      <c r="E18" s="32">
        <f>SUM(E17)</f>
        <v>-52412</v>
      </c>
      <c r="F18" s="32">
        <f>SUM(F17)</f>
        <v>26950</v>
      </c>
    </row>
    <row r="19" spans="1:6" ht="16" customHeight="1" thickBot="1" x14ac:dyDescent="0.35">
      <c r="A19" s="7" t="s">
        <v>1</v>
      </c>
      <c r="B19" s="34">
        <f>B18+B15</f>
        <v>4302829</v>
      </c>
      <c r="C19" s="34">
        <f>C18+C15</f>
        <v>-523334</v>
      </c>
      <c r="D19" s="34">
        <f>D18+D15</f>
        <v>2154413</v>
      </c>
      <c r="E19" s="34">
        <f>E18+E15</f>
        <v>-53247</v>
      </c>
      <c r="F19" s="34">
        <f>F18+F15</f>
        <v>-62246</v>
      </c>
    </row>
    <row r="20" spans="1:6" ht="27.5" customHeight="1" thickBot="1" x14ac:dyDescent="0.35">
      <c r="A20" s="1" t="s">
        <v>0</v>
      </c>
      <c r="B20" s="38">
        <f>B19+B10</f>
        <v>4295341</v>
      </c>
      <c r="C20" s="38">
        <f>C19+C10</f>
        <v>-523750</v>
      </c>
      <c r="D20" s="38">
        <f>D19+D10</f>
        <v>2140114</v>
      </c>
      <c r="E20" s="38">
        <f>E19+E10</f>
        <v>-53239</v>
      </c>
      <c r="F20" s="38">
        <f>F19+F10</f>
        <v>-62253</v>
      </c>
    </row>
    <row r="21" spans="1:6" ht="16" customHeight="1" thickTop="1" x14ac:dyDescent="0.3"/>
    <row r="22" spans="1:6" ht="16" customHeight="1" x14ac:dyDescent="0.3">
      <c r="A22" s="41" t="s">
        <v>87</v>
      </c>
    </row>
    <row r="23" spans="1:6" ht="16" customHeight="1" x14ac:dyDescent="0.3">
      <c r="A23" s="41" t="s">
        <v>88</v>
      </c>
      <c r="B23" s="19"/>
      <c r="C23" s="19"/>
      <c r="D23" s="19"/>
      <c r="E23" s="19"/>
      <c r="F23" s="19"/>
    </row>
    <row r="24" spans="1:6" ht="16" customHeight="1" x14ac:dyDescent="0.3">
      <c r="A24" s="41" t="s">
        <v>89</v>
      </c>
      <c r="B24" s="39"/>
      <c r="C24" s="39"/>
      <c r="D24" s="39"/>
      <c r="E24" s="39"/>
      <c r="F24" s="39"/>
    </row>
    <row r="25" spans="1:6" ht="16" customHeight="1" x14ac:dyDescent="0.3">
      <c r="A25" s="41" t="s">
        <v>90</v>
      </c>
      <c r="B25" s="39"/>
      <c r="C25" s="39"/>
      <c r="D25" s="39"/>
      <c r="E25" s="39"/>
      <c r="F25" s="39"/>
    </row>
    <row r="27" spans="1:6" ht="16" customHeight="1" x14ac:dyDescent="0.3">
      <c r="B27" s="19"/>
      <c r="C27" s="19"/>
      <c r="D27" s="19"/>
      <c r="E27" s="19"/>
      <c r="F27" s="19"/>
    </row>
  </sheetData>
  <mergeCells count="5">
    <mergeCell ref="B11"/>
    <mergeCell ref="B12"/>
    <mergeCell ref="B5"/>
    <mergeCell ref="B6"/>
    <mergeCell ref="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3CA1-9C66-4D02-80C3-46222BF85DFD}">
  <dimension ref="A1:F27"/>
  <sheetViews>
    <sheetView topLeftCell="A8" zoomScale="80" zoomScaleNormal="80" workbookViewId="0">
      <selection activeCell="C16" sqref="C16"/>
    </sheetView>
  </sheetViews>
  <sheetFormatPr defaultColWidth="31.6328125" defaultRowHeight="16" customHeight="1" x14ac:dyDescent="0.3"/>
  <cols>
    <col min="1" max="16384" width="31.6328125" style="2"/>
  </cols>
  <sheetData>
    <row r="1" spans="1:6" ht="33.5" customHeight="1" thickBot="1" x14ac:dyDescent="0.35">
      <c r="A1" s="1"/>
      <c r="B1" s="31" t="s">
        <v>61</v>
      </c>
      <c r="C1" s="31" t="s">
        <v>62</v>
      </c>
      <c r="D1" s="31" t="s">
        <v>63</v>
      </c>
      <c r="E1" s="31" t="s">
        <v>64</v>
      </c>
      <c r="F1" s="31" t="s">
        <v>65</v>
      </c>
    </row>
    <row r="2" spans="1:6" ht="16" customHeight="1" x14ac:dyDescent="0.3">
      <c r="A2" s="1" t="s">
        <v>18</v>
      </c>
      <c r="B2" s="33"/>
      <c r="C2" s="33"/>
      <c r="D2" s="33"/>
      <c r="E2" s="33"/>
      <c r="F2" s="33"/>
    </row>
    <row r="3" spans="1:6" ht="16" customHeight="1" thickBot="1" x14ac:dyDescent="0.35">
      <c r="A3" s="4" t="s">
        <v>17</v>
      </c>
      <c r="B3" s="34">
        <v>4919</v>
      </c>
      <c r="C3" s="34">
        <v>9982</v>
      </c>
      <c r="D3" s="34">
        <v>4197</v>
      </c>
      <c r="E3" s="34">
        <v>14594</v>
      </c>
      <c r="F3" s="34">
        <v>24362</v>
      </c>
    </row>
    <row r="4" spans="1:6" ht="16" customHeight="1" thickBot="1" x14ac:dyDescent="0.35">
      <c r="A4" s="7" t="s">
        <v>15</v>
      </c>
      <c r="B4" s="32">
        <v>4919</v>
      </c>
      <c r="C4" s="32">
        <v>9982</v>
      </c>
      <c r="D4" s="32">
        <v>4197</v>
      </c>
      <c r="E4" s="32">
        <v>14594</v>
      </c>
      <c r="F4" s="32">
        <v>24362</v>
      </c>
    </row>
    <row r="5" spans="1:6" ht="16" customHeight="1" x14ac:dyDescent="0.3">
      <c r="A5" s="5"/>
      <c r="B5" s="33"/>
      <c r="C5" s="33"/>
      <c r="D5" s="33"/>
      <c r="E5" s="33"/>
      <c r="F5" s="33"/>
    </row>
    <row r="6" spans="1:6" ht="16" customHeight="1" x14ac:dyDescent="0.3">
      <c r="A6" s="1" t="s">
        <v>14</v>
      </c>
      <c r="B6" s="35"/>
      <c r="C6" s="35"/>
      <c r="D6" s="35"/>
      <c r="E6" s="35"/>
      <c r="F6" s="35"/>
    </row>
    <row r="7" spans="1:6" ht="16" customHeight="1" x14ac:dyDescent="0.3">
      <c r="A7" s="4" t="s">
        <v>13</v>
      </c>
      <c r="B7" s="34">
        <v>9269</v>
      </c>
      <c r="C7" s="34">
        <v>19167</v>
      </c>
      <c r="D7" s="34">
        <v>5257</v>
      </c>
      <c r="E7" s="34">
        <v>53015</v>
      </c>
      <c r="F7" s="34">
        <v>33995</v>
      </c>
    </row>
    <row r="8" spans="1:6" ht="16" customHeight="1" thickBot="1" x14ac:dyDescent="0.35">
      <c r="A8" s="21" t="s">
        <v>82</v>
      </c>
      <c r="B8" s="22">
        <v>1390</v>
      </c>
      <c r="C8" s="22">
        <v>463</v>
      </c>
      <c r="D8" s="22">
        <v>1</v>
      </c>
      <c r="E8" s="22">
        <v>1186</v>
      </c>
      <c r="F8" s="22">
        <v>664</v>
      </c>
    </row>
    <row r="9" spans="1:6" ht="16" customHeight="1" thickBot="1" x14ac:dyDescent="0.35">
      <c r="A9" s="7" t="s">
        <v>11</v>
      </c>
      <c r="B9" s="36">
        <f>SUM(B7:B8)</f>
        <v>10659</v>
      </c>
      <c r="C9" s="36">
        <f t="shared" ref="C9:F9" si="0">SUM(C7:C8)</f>
        <v>19630</v>
      </c>
      <c r="D9" s="36">
        <f t="shared" si="0"/>
        <v>5258</v>
      </c>
      <c r="E9" s="36">
        <f t="shared" si="0"/>
        <v>54201</v>
      </c>
      <c r="F9" s="36">
        <f t="shared" si="0"/>
        <v>34659</v>
      </c>
    </row>
    <row r="10" spans="1:6" ht="16" customHeight="1" thickBot="1" x14ac:dyDescent="0.35">
      <c r="A10" s="11" t="s">
        <v>23</v>
      </c>
      <c r="B10" s="32">
        <f>B4-B9</f>
        <v>-5740</v>
      </c>
      <c r="C10" s="32">
        <f t="shared" ref="C10:F10" si="1">C4-C9</f>
        <v>-9648</v>
      </c>
      <c r="D10" s="32">
        <f t="shared" si="1"/>
        <v>-1061</v>
      </c>
      <c r="E10" s="32">
        <f t="shared" si="1"/>
        <v>-39607</v>
      </c>
      <c r="F10" s="32">
        <f t="shared" si="1"/>
        <v>-10297</v>
      </c>
    </row>
    <row r="11" spans="1:6" ht="16" customHeight="1" x14ac:dyDescent="0.3">
      <c r="A11" s="5"/>
      <c r="B11" s="33"/>
      <c r="C11" s="33"/>
      <c r="D11" s="33"/>
      <c r="E11" s="33"/>
      <c r="F11" s="33"/>
    </row>
    <row r="12" spans="1:6" ht="23.5" customHeight="1" x14ac:dyDescent="0.3">
      <c r="A12" s="1" t="s">
        <v>9</v>
      </c>
      <c r="B12" s="35"/>
      <c r="C12" s="35"/>
      <c r="D12" s="35"/>
      <c r="E12" s="35"/>
      <c r="F12" s="35"/>
    </row>
    <row r="13" spans="1:6" ht="16" customHeight="1" x14ac:dyDescent="0.3">
      <c r="A13" s="7" t="s">
        <v>8</v>
      </c>
      <c r="B13" s="37" t="s">
        <v>37</v>
      </c>
      <c r="C13" s="37" t="s">
        <v>36</v>
      </c>
      <c r="D13" s="37" t="s">
        <v>35</v>
      </c>
      <c r="E13" s="37" t="s">
        <v>34</v>
      </c>
      <c r="F13" s="37" t="s">
        <v>33</v>
      </c>
    </row>
    <row r="14" spans="1:6" ht="16" customHeight="1" thickBot="1" x14ac:dyDescent="0.35">
      <c r="A14" s="4" t="s">
        <v>20</v>
      </c>
      <c r="B14" s="52">
        <f>-5138439-2123</f>
        <v>-5140562</v>
      </c>
      <c r="C14" s="52">
        <f>-1345300+634131</f>
        <v>-711169</v>
      </c>
      <c r="D14" s="52">
        <f>-236763+20891</f>
        <v>-215872</v>
      </c>
      <c r="E14" s="52">
        <f>-13745534+797450</f>
        <v>-12948084</v>
      </c>
      <c r="F14" s="52">
        <f>-2108017+380481</f>
        <v>-1727536</v>
      </c>
    </row>
    <row r="15" spans="1:6" ht="16" customHeight="1" thickBot="1" x14ac:dyDescent="0.35">
      <c r="A15" s="7" t="s">
        <v>6</v>
      </c>
      <c r="B15" s="53">
        <f>SUM(B14)</f>
        <v>-5140562</v>
      </c>
      <c r="C15" s="53">
        <f>SUM(C14)</f>
        <v>-711169</v>
      </c>
      <c r="D15" s="53">
        <f>SUM(D14)</f>
        <v>-215872</v>
      </c>
      <c r="E15" s="53">
        <f>SUM(E14)</f>
        <v>-12948084</v>
      </c>
      <c r="F15" s="53">
        <f>SUM(F14)</f>
        <v>-1727536</v>
      </c>
    </row>
    <row r="16" spans="1:6" ht="24" customHeight="1" x14ac:dyDescent="0.3">
      <c r="A16" s="7" t="s">
        <v>5</v>
      </c>
      <c r="B16" s="54" t="s">
        <v>32</v>
      </c>
      <c r="C16" s="54">
        <v>1767324</v>
      </c>
      <c r="D16" s="54" t="s">
        <v>31</v>
      </c>
      <c r="E16" s="54" t="s">
        <v>30</v>
      </c>
      <c r="F16" s="54">
        <v>3542474</v>
      </c>
    </row>
    <row r="17" spans="1:6" ht="16" customHeight="1" thickBot="1" x14ac:dyDescent="0.35">
      <c r="A17" s="4" t="s">
        <v>20</v>
      </c>
      <c r="B17" s="52">
        <v>-553386</v>
      </c>
      <c r="C17" s="52">
        <v>1285402</v>
      </c>
      <c r="D17" s="52">
        <v>-95171</v>
      </c>
      <c r="E17" s="52">
        <v>-1493390</v>
      </c>
      <c r="F17" s="52">
        <v>3350419</v>
      </c>
    </row>
    <row r="18" spans="1:6" ht="26" customHeight="1" thickBot="1" x14ac:dyDescent="0.35">
      <c r="A18" s="4" t="s">
        <v>2</v>
      </c>
      <c r="B18" s="32">
        <f>SUM(B17)</f>
        <v>-553386</v>
      </c>
      <c r="C18" s="32">
        <f>SUM(C17)</f>
        <v>1285402</v>
      </c>
      <c r="D18" s="32">
        <f>SUM(D17)</f>
        <v>-95171</v>
      </c>
      <c r="E18" s="32">
        <f>SUM(E17)</f>
        <v>-1493390</v>
      </c>
      <c r="F18" s="32">
        <f>SUM(F17)</f>
        <v>3350419</v>
      </c>
    </row>
    <row r="19" spans="1:6" ht="16" customHeight="1" thickBot="1" x14ac:dyDescent="0.35">
      <c r="A19" s="7" t="s">
        <v>1</v>
      </c>
      <c r="B19" s="34">
        <f>B15+B18</f>
        <v>-5693948</v>
      </c>
      <c r="C19" s="34">
        <f>C15+C18</f>
        <v>574233</v>
      </c>
      <c r="D19" s="34">
        <f>D15+D18</f>
        <v>-311043</v>
      </c>
      <c r="E19" s="34">
        <f>E15+E18</f>
        <v>-14441474</v>
      </c>
      <c r="F19" s="34">
        <f>F15+F18</f>
        <v>1622883</v>
      </c>
    </row>
    <row r="20" spans="1:6" ht="40" customHeight="1" thickBot="1" x14ac:dyDescent="0.35">
      <c r="A20" s="1" t="s">
        <v>0</v>
      </c>
      <c r="B20" s="38">
        <f>B10+B19</f>
        <v>-5699688</v>
      </c>
      <c r="C20" s="38">
        <f>C10+C19</f>
        <v>564585</v>
      </c>
      <c r="D20" s="38">
        <f>D10+D19</f>
        <v>-312104</v>
      </c>
      <c r="E20" s="38">
        <f>E10+E19</f>
        <v>-14481081</v>
      </c>
      <c r="F20" s="38">
        <f>F10+F19</f>
        <v>1612586</v>
      </c>
    </row>
    <row r="21" spans="1:6" ht="16" customHeight="1" thickTop="1" x14ac:dyDescent="0.3"/>
    <row r="22" spans="1:6" ht="16" customHeight="1" x14ac:dyDescent="0.3">
      <c r="A22" s="41" t="s">
        <v>91</v>
      </c>
    </row>
    <row r="23" spans="1:6" ht="16" customHeight="1" x14ac:dyDescent="0.3">
      <c r="A23" s="41" t="s">
        <v>92</v>
      </c>
      <c r="B23" s="19"/>
      <c r="C23" s="19"/>
      <c r="D23" s="19"/>
      <c r="E23" s="19"/>
      <c r="F23" s="19"/>
    </row>
    <row r="24" spans="1:6" ht="16" customHeight="1" x14ac:dyDescent="0.3">
      <c r="A24" s="41" t="s">
        <v>93</v>
      </c>
    </row>
    <row r="25" spans="1:6" ht="16" customHeight="1" x14ac:dyDescent="0.3">
      <c r="A25" s="41" t="s">
        <v>94</v>
      </c>
      <c r="B25" s="39"/>
      <c r="C25" s="39"/>
      <c r="D25" s="39"/>
      <c r="E25" s="39"/>
      <c r="F25" s="39"/>
    </row>
    <row r="27" spans="1:6" ht="16" customHeight="1" x14ac:dyDescent="0.3">
      <c r="B27" s="19"/>
      <c r="C27" s="19"/>
      <c r="D27" s="19"/>
      <c r="E27" s="19"/>
      <c r="F27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648-FBED-477C-AFE4-91924A1898C2}">
  <dimension ref="A1:F28"/>
  <sheetViews>
    <sheetView zoomScale="80" zoomScaleNormal="80" workbookViewId="0">
      <selection activeCell="B15" sqref="B15:F19"/>
    </sheetView>
  </sheetViews>
  <sheetFormatPr defaultColWidth="31.6328125" defaultRowHeight="16" customHeight="1" x14ac:dyDescent="0.3"/>
  <cols>
    <col min="1" max="16384" width="31.6328125" style="2"/>
  </cols>
  <sheetData>
    <row r="1" spans="1:6" ht="33.5" customHeight="1" thickBot="1" x14ac:dyDescent="0.35">
      <c r="A1" s="1"/>
      <c r="B1" s="31" t="s">
        <v>66</v>
      </c>
      <c r="C1" s="31" t="s">
        <v>67</v>
      </c>
      <c r="D1" s="31" t="s">
        <v>68</v>
      </c>
      <c r="E1" s="31" t="s">
        <v>69</v>
      </c>
      <c r="F1" s="31" t="s">
        <v>70</v>
      </c>
    </row>
    <row r="2" spans="1:6" ht="16" customHeight="1" x14ac:dyDescent="0.3">
      <c r="A2" s="1" t="s">
        <v>18</v>
      </c>
      <c r="B2" s="33"/>
      <c r="C2" s="33"/>
      <c r="D2" s="33"/>
      <c r="E2" s="33"/>
      <c r="F2" s="33"/>
    </row>
    <row r="3" spans="1:6" ht="16" customHeight="1" thickBot="1" x14ac:dyDescent="0.35">
      <c r="A3" s="4" t="s">
        <v>17</v>
      </c>
      <c r="B3" s="34">
        <v>23325</v>
      </c>
      <c r="C3" s="34">
        <v>180</v>
      </c>
      <c r="D3" s="34">
        <v>0</v>
      </c>
      <c r="E3" s="34">
        <v>745</v>
      </c>
      <c r="F3" s="34">
        <v>117627</v>
      </c>
    </row>
    <row r="4" spans="1:6" ht="16" customHeight="1" thickBot="1" x14ac:dyDescent="0.35">
      <c r="A4" s="7" t="s">
        <v>15</v>
      </c>
      <c r="B4" s="32">
        <v>23325</v>
      </c>
      <c r="C4" s="32">
        <v>180</v>
      </c>
      <c r="D4" s="32">
        <v>0</v>
      </c>
      <c r="E4" s="32">
        <v>745</v>
      </c>
      <c r="F4" s="32">
        <v>117627</v>
      </c>
    </row>
    <row r="5" spans="1:6" ht="16" customHeight="1" x14ac:dyDescent="0.3">
      <c r="A5" s="5"/>
      <c r="B5" s="33"/>
      <c r="C5" s="33"/>
      <c r="D5" s="33"/>
      <c r="E5" s="33"/>
      <c r="F5" s="33"/>
    </row>
    <row r="6" spans="1:6" ht="16" customHeight="1" x14ac:dyDescent="0.3">
      <c r="A6" s="1" t="s">
        <v>14</v>
      </c>
      <c r="B6" s="35"/>
      <c r="C6" s="35"/>
      <c r="D6" s="35"/>
      <c r="E6" s="35"/>
      <c r="F6" s="35"/>
    </row>
    <row r="7" spans="1:6" ht="16" customHeight="1" x14ac:dyDescent="0.3">
      <c r="A7" s="4" t="s">
        <v>13</v>
      </c>
      <c r="B7" s="34">
        <v>74699</v>
      </c>
      <c r="C7" s="34">
        <v>921</v>
      </c>
      <c r="D7" s="34">
        <v>313</v>
      </c>
      <c r="E7" s="34">
        <v>3008</v>
      </c>
      <c r="F7" s="34">
        <v>177921</v>
      </c>
    </row>
    <row r="8" spans="1:6" ht="16" customHeight="1" thickBot="1" x14ac:dyDescent="0.35">
      <c r="A8" s="21" t="s">
        <v>82</v>
      </c>
      <c r="B8" s="34">
        <v>1390</v>
      </c>
      <c r="C8" s="34" t="s">
        <v>22</v>
      </c>
      <c r="D8" s="34" t="s">
        <v>22</v>
      </c>
      <c r="E8" s="34" t="s">
        <v>22</v>
      </c>
      <c r="F8" s="34">
        <v>17799</v>
      </c>
    </row>
    <row r="9" spans="1:6" ht="16" customHeight="1" thickBot="1" x14ac:dyDescent="0.35">
      <c r="A9" s="7" t="s">
        <v>11</v>
      </c>
      <c r="B9" s="36">
        <f>SUM(B7:B8)</f>
        <v>76089</v>
      </c>
      <c r="C9" s="36">
        <f t="shared" ref="C9:F9" si="0">SUM(C7:C8)</f>
        <v>921</v>
      </c>
      <c r="D9" s="36">
        <f t="shared" si="0"/>
        <v>313</v>
      </c>
      <c r="E9" s="36">
        <f t="shared" si="0"/>
        <v>3008</v>
      </c>
      <c r="F9" s="36">
        <f t="shared" si="0"/>
        <v>195720</v>
      </c>
    </row>
    <row r="10" spans="1:6" ht="16" customHeight="1" thickBot="1" x14ac:dyDescent="0.35">
      <c r="A10" s="11" t="s">
        <v>23</v>
      </c>
      <c r="B10" s="32">
        <f>B4-B9</f>
        <v>-52764</v>
      </c>
      <c r="C10" s="32">
        <f t="shared" ref="C10:F10" si="1">C4-C9</f>
        <v>-741</v>
      </c>
      <c r="D10" s="32">
        <f t="shared" si="1"/>
        <v>-313</v>
      </c>
      <c r="E10" s="32">
        <f t="shared" si="1"/>
        <v>-2263</v>
      </c>
      <c r="F10" s="32">
        <f t="shared" si="1"/>
        <v>-78093</v>
      </c>
    </row>
    <row r="11" spans="1:6" ht="16" customHeight="1" x14ac:dyDescent="0.3">
      <c r="A11" s="5"/>
      <c r="B11" s="33"/>
      <c r="C11" s="33"/>
      <c r="D11" s="33"/>
      <c r="E11" s="33"/>
      <c r="F11" s="33"/>
    </row>
    <row r="12" spans="1:6" ht="16" customHeight="1" x14ac:dyDescent="0.3">
      <c r="A12" s="1" t="s">
        <v>9</v>
      </c>
      <c r="B12" s="35"/>
      <c r="C12" s="35"/>
      <c r="D12" s="35"/>
      <c r="E12" s="35"/>
      <c r="F12" s="35"/>
    </row>
    <row r="13" spans="1:6" ht="16" customHeight="1" x14ac:dyDescent="0.3">
      <c r="A13" s="7" t="s">
        <v>8</v>
      </c>
      <c r="B13" s="37">
        <v>5613175</v>
      </c>
      <c r="C13" s="37" t="s">
        <v>40</v>
      </c>
      <c r="D13" s="37" t="s">
        <v>39</v>
      </c>
      <c r="E13" s="37" t="s">
        <v>38</v>
      </c>
      <c r="F13" s="37">
        <v>27622709</v>
      </c>
    </row>
    <row r="14" spans="1:6" ht="16" customHeight="1" x14ac:dyDescent="0.3">
      <c r="A14" s="4" t="s">
        <v>4</v>
      </c>
      <c r="B14" s="34" t="s">
        <v>22</v>
      </c>
      <c r="C14" s="34" t="s">
        <v>22</v>
      </c>
      <c r="D14" s="34" t="s">
        <v>22</v>
      </c>
      <c r="E14" s="34" t="s">
        <v>22</v>
      </c>
      <c r="F14" s="34">
        <v>-12191425</v>
      </c>
    </row>
    <row r="15" spans="1:6" ht="16" customHeight="1" thickBot="1" x14ac:dyDescent="0.35">
      <c r="A15" s="4" t="s">
        <v>20</v>
      </c>
      <c r="B15" s="52">
        <f>5742374+878850</f>
        <v>6621224</v>
      </c>
      <c r="C15" s="52">
        <v>-1201147</v>
      </c>
      <c r="D15" s="52">
        <f>-9352-340</f>
        <v>-9692</v>
      </c>
      <c r="E15" s="52">
        <f>-413515+2528</f>
        <v>-410987</v>
      </c>
      <c r="F15" s="52">
        <f>39498771+285124</f>
        <v>39783895</v>
      </c>
    </row>
    <row r="16" spans="1:6" ht="16" customHeight="1" thickBot="1" x14ac:dyDescent="0.35">
      <c r="A16" s="7" t="s">
        <v>6</v>
      </c>
      <c r="B16" s="53">
        <f>SUM(B14:B15)</f>
        <v>6621224</v>
      </c>
      <c r="C16" s="53">
        <f>SUM(C14:C15)</f>
        <v>-1201147</v>
      </c>
      <c r="D16" s="53">
        <f>SUM(D14:D15)</f>
        <v>-9692</v>
      </c>
      <c r="E16" s="53">
        <f>SUM(E14:E15)</f>
        <v>-410987</v>
      </c>
      <c r="F16" s="53">
        <f>SUM(F14:F15)</f>
        <v>27592470</v>
      </c>
    </row>
    <row r="17" spans="1:6" ht="16" customHeight="1" x14ac:dyDescent="0.3">
      <c r="A17" s="7" t="s">
        <v>5</v>
      </c>
      <c r="B17" s="54">
        <v>13869107</v>
      </c>
      <c r="C17" s="54">
        <v>14333</v>
      </c>
      <c r="D17" s="54">
        <v>489815</v>
      </c>
      <c r="E17" s="54">
        <v>132628</v>
      </c>
      <c r="F17" s="54">
        <v>22282468</v>
      </c>
    </row>
    <row r="18" spans="1:6" ht="16" customHeight="1" thickBot="1" x14ac:dyDescent="0.35">
      <c r="A18" s="4" t="s">
        <v>20</v>
      </c>
      <c r="B18" s="52">
        <v>12850306</v>
      </c>
      <c r="C18" s="52">
        <v>14655</v>
      </c>
      <c r="D18" s="52">
        <v>490921</v>
      </c>
      <c r="E18" s="52">
        <v>130889</v>
      </c>
      <c r="F18" s="52">
        <v>22312706</v>
      </c>
    </row>
    <row r="19" spans="1:6" ht="16" customHeight="1" thickBot="1" x14ac:dyDescent="0.35">
      <c r="A19" s="4" t="s">
        <v>2</v>
      </c>
      <c r="B19" s="53">
        <f>SUM(B18)</f>
        <v>12850306</v>
      </c>
      <c r="C19" s="53">
        <f>SUM(C18)</f>
        <v>14655</v>
      </c>
      <c r="D19" s="53">
        <f>SUM(D18)</f>
        <v>490921</v>
      </c>
      <c r="E19" s="53">
        <f>SUM(E18)</f>
        <v>130889</v>
      </c>
      <c r="F19" s="53">
        <f>SUM(F18)</f>
        <v>22312706</v>
      </c>
    </row>
    <row r="20" spans="1:6" ht="16" customHeight="1" thickBot="1" x14ac:dyDescent="0.35">
      <c r="A20" s="7" t="s">
        <v>1</v>
      </c>
      <c r="B20" s="34">
        <f>B16+B19</f>
        <v>19471530</v>
      </c>
      <c r="C20" s="34">
        <f>C16+C19</f>
        <v>-1186492</v>
      </c>
      <c r="D20" s="34">
        <f>D16+D19</f>
        <v>481229</v>
      </c>
      <c r="E20" s="34">
        <f>E16+E19</f>
        <v>-280098</v>
      </c>
      <c r="F20" s="34">
        <f>F16+F19</f>
        <v>49905176</v>
      </c>
    </row>
    <row r="21" spans="1:6" ht="16" customHeight="1" thickBot="1" x14ac:dyDescent="0.35">
      <c r="A21" s="1" t="s">
        <v>0</v>
      </c>
      <c r="B21" s="43">
        <f>B20+B10</f>
        <v>19418766</v>
      </c>
      <c r="C21" s="43">
        <f>C20+C10</f>
        <v>-1187233</v>
      </c>
      <c r="D21" s="43">
        <f>D20+D10</f>
        <v>480916</v>
      </c>
      <c r="E21" s="43">
        <f>E20+E10</f>
        <v>-282361</v>
      </c>
      <c r="F21" s="43">
        <f>F20+F10</f>
        <v>49827083</v>
      </c>
    </row>
    <row r="22" spans="1:6" ht="16" customHeight="1" thickTop="1" x14ac:dyDescent="0.3">
      <c r="A22" s="16"/>
    </row>
    <row r="23" spans="1:6" ht="16" customHeight="1" x14ac:dyDescent="0.3">
      <c r="A23" s="42" t="s">
        <v>91</v>
      </c>
    </row>
    <row r="24" spans="1:6" ht="16" customHeight="1" x14ac:dyDescent="0.3">
      <c r="A24" s="42" t="s">
        <v>95</v>
      </c>
      <c r="B24" s="19"/>
      <c r="C24" s="19"/>
      <c r="D24" s="19"/>
      <c r="E24" s="19"/>
      <c r="F24" s="19"/>
    </row>
    <row r="25" spans="1:6" ht="16" customHeight="1" x14ac:dyDescent="0.3">
      <c r="A25" s="41" t="s">
        <v>89</v>
      </c>
    </row>
    <row r="26" spans="1:6" ht="16" customHeight="1" x14ac:dyDescent="0.3">
      <c r="A26" s="41" t="s">
        <v>96</v>
      </c>
      <c r="B26" s="39"/>
      <c r="C26" s="39"/>
      <c r="D26" s="39"/>
      <c r="E26" s="39"/>
      <c r="F26" s="39"/>
    </row>
    <row r="28" spans="1:6" ht="16" customHeight="1" x14ac:dyDescent="0.3">
      <c r="B28" s="19"/>
      <c r="C28" s="19"/>
      <c r="D28" s="19"/>
      <c r="E28" s="19"/>
      <c r="F28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9FFC-3A5D-4E60-B14F-9F68079E9387}">
  <dimension ref="A1:F28"/>
  <sheetViews>
    <sheetView zoomScale="80" zoomScaleNormal="80" workbookViewId="0"/>
  </sheetViews>
  <sheetFormatPr defaultColWidth="31.6328125" defaultRowHeight="16" customHeight="1" x14ac:dyDescent="0.3"/>
  <cols>
    <col min="1" max="16384" width="31.6328125" style="2"/>
  </cols>
  <sheetData>
    <row r="1" spans="1:6" ht="33.5" customHeight="1" thickBot="1" x14ac:dyDescent="0.35">
      <c r="A1" s="1"/>
      <c r="B1" s="31" t="s">
        <v>71</v>
      </c>
      <c r="C1" s="31" t="s">
        <v>72</v>
      </c>
      <c r="D1" s="31" t="s">
        <v>73</v>
      </c>
      <c r="E1" s="31" t="s">
        <v>74</v>
      </c>
      <c r="F1" s="31" t="s">
        <v>75</v>
      </c>
    </row>
    <row r="2" spans="1:6" ht="16" customHeight="1" x14ac:dyDescent="0.3">
      <c r="A2" s="1" t="s">
        <v>18</v>
      </c>
      <c r="B2" s="33"/>
      <c r="C2" s="33"/>
      <c r="D2" s="33"/>
      <c r="E2" s="33"/>
      <c r="F2" s="33"/>
    </row>
    <row r="3" spans="1:6" ht="16" customHeight="1" x14ac:dyDescent="0.3">
      <c r="A3" s="4" t="s">
        <v>17</v>
      </c>
      <c r="B3" s="34">
        <v>20</v>
      </c>
      <c r="C3" s="34">
        <v>21</v>
      </c>
      <c r="D3" s="34">
        <v>46917</v>
      </c>
      <c r="E3" s="34">
        <v>6853</v>
      </c>
      <c r="F3" s="34">
        <v>28058</v>
      </c>
    </row>
    <row r="4" spans="1:6" ht="16" customHeight="1" thickBot="1" x14ac:dyDescent="0.35">
      <c r="A4" s="4" t="s">
        <v>16</v>
      </c>
      <c r="B4" s="34" t="s">
        <v>22</v>
      </c>
      <c r="C4" s="34" t="s">
        <v>22</v>
      </c>
      <c r="D4" s="34">
        <v>105</v>
      </c>
      <c r="E4" s="34">
        <v>230</v>
      </c>
      <c r="F4" s="34" t="s">
        <v>22</v>
      </c>
    </row>
    <row r="5" spans="1:6" ht="16" customHeight="1" thickBot="1" x14ac:dyDescent="0.35">
      <c r="A5" s="7" t="s">
        <v>15</v>
      </c>
      <c r="B5" s="32">
        <f>SUM(B3:B4)</f>
        <v>20</v>
      </c>
      <c r="C5" s="32">
        <f>SUM(C3:C4)</f>
        <v>21</v>
      </c>
      <c r="D5" s="32">
        <f>SUM(D3:D4)</f>
        <v>47022</v>
      </c>
      <c r="E5" s="32">
        <f>SUM(E3:E4)</f>
        <v>7083</v>
      </c>
      <c r="F5" s="32">
        <f>SUM(F3:F4)</f>
        <v>28058</v>
      </c>
    </row>
    <row r="6" spans="1:6" ht="16" customHeight="1" x14ac:dyDescent="0.3">
      <c r="A6" s="5"/>
      <c r="B6" s="33"/>
      <c r="C6" s="33"/>
      <c r="D6" s="33"/>
      <c r="E6" s="33"/>
      <c r="F6" s="33"/>
    </row>
    <row r="7" spans="1:6" ht="16" customHeight="1" x14ac:dyDescent="0.3">
      <c r="A7" s="1" t="s">
        <v>14</v>
      </c>
      <c r="B7" s="35"/>
      <c r="C7" s="35"/>
      <c r="D7" s="35"/>
      <c r="E7" s="35"/>
      <c r="F7" s="35"/>
    </row>
    <row r="8" spans="1:6" ht="16" customHeight="1" x14ac:dyDescent="0.3">
      <c r="A8" s="4" t="s">
        <v>13</v>
      </c>
      <c r="B8" s="34">
        <v>27</v>
      </c>
      <c r="C8" s="34">
        <v>41</v>
      </c>
      <c r="D8" s="34">
        <v>81422</v>
      </c>
      <c r="E8" s="34">
        <v>11664</v>
      </c>
      <c r="F8" s="34">
        <v>44922</v>
      </c>
    </row>
    <row r="9" spans="1:6" ht="16" customHeight="1" thickBot="1" x14ac:dyDescent="0.35">
      <c r="A9" s="21" t="s">
        <v>82</v>
      </c>
      <c r="B9" s="34" t="s">
        <v>22</v>
      </c>
      <c r="C9" s="34" t="s">
        <v>22</v>
      </c>
      <c r="D9" s="34" t="s">
        <v>22</v>
      </c>
      <c r="E9" s="34" t="s">
        <v>22</v>
      </c>
      <c r="F9" s="34">
        <v>497</v>
      </c>
    </row>
    <row r="10" spans="1:6" ht="16" customHeight="1" thickBot="1" x14ac:dyDescent="0.35">
      <c r="A10" s="7" t="s">
        <v>11</v>
      </c>
      <c r="B10" s="36">
        <f>SUM(B8:B9)</f>
        <v>27</v>
      </c>
      <c r="C10" s="36">
        <f t="shared" ref="C10:F10" si="0">SUM(C8:C9)</f>
        <v>41</v>
      </c>
      <c r="D10" s="36">
        <f t="shared" si="0"/>
        <v>81422</v>
      </c>
      <c r="E10" s="36">
        <f t="shared" si="0"/>
        <v>11664</v>
      </c>
      <c r="F10" s="36">
        <f t="shared" si="0"/>
        <v>45419</v>
      </c>
    </row>
    <row r="11" spans="1:6" ht="16" customHeight="1" thickBot="1" x14ac:dyDescent="0.35">
      <c r="A11" s="11" t="s">
        <v>23</v>
      </c>
      <c r="B11" s="32">
        <f>B5-B10</f>
        <v>-7</v>
      </c>
      <c r="C11" s="32">
        <f>C5-C10</f>
        <v>-20</v>
      </c>
      <c r="D11" s="32">
        <f>D5-D10</f>
        <v>-34400</v>
      </c>
      <c r="E11" s="32">
        <f>E5-E10</f>
        <v>-4581</v>
      </c>
      <c r="F11" s="32">
        <f>F5-F10</f>
        <v>-17361</v>
      </c>
    </row>
    <row r="12" spans="1:6" ht="16" customHeight="1" x14ac:dyDescent="0.3">
      <c r="A12" s="5"/>
      <c r="B12" s="33"/>
      <c r="C12" s="33"/>
      <c r="D12" s="33"/>
      <c r="E12" s="33"/>
      <c r="F12" s="33"/>
    </row>
    <row r="13" spans="1:6" ht="16" customHeight="1" x14ac:dyDescent="0.3">
      <c r="A13" s="1" t="s">
        <v>9</v>
      </c>
      <c r="B13" s="35"/>
      <c r="C13" s="35"/>
      <c r="D13" s="35"/>
      <c r="E13" s="35"/>
      <c r="F13" s="35"/>
    </row>
    <row r="14" spans="1:6" ht="16" customHeight="1" x14ac:dyDescent="0.3">
      <c r="A14" s="7" t="s">
        <v>8</v>
      </c>
      <c r="B14" s="37" t="s">
        <v>43</v>
      </c>
      <c r="C14" s="37" t="s">
        <v>42</v>
      </c>
      <c r="D14" s="37">
        <v>10050379</v>
      </c>
      <c r="E14" s="37">
        <v>1376704</v>
      </c>
      <c r="F14" s="37">
        <v>5081911</v>
      </c>
    </row>
    <row r="15" spans="1:6" ht="16" customHeight="1" thickBot="1" x14ac:dyDescent="0.35">
      <c r="A15" s="4" t="s">
        <v>20</v>
      </c>
      <c r="B15" s="52">
        <f>-10093+6448</f>
        <v>-3645</v>
      </c>
      <c r="C15" s="52">
        <f>-855-216</f>
        <v>-1071</v>
      </c>
      <c r="D15" s="52">
        <f>10009421+2994</f>
        <v>10012415</v>
      </c>
      <c r="E15" s="52">
        <f>1378010+161778</f>
        <v>1539788</v>
      </c>
      <c r="F15" s="52">
        <f>5068843-3167</f>
        <v>5065676</v>
      </c>
    </row>
    <row r="16" spans="1:6" ht="16" customHeight="1" thickBot="1" x14ac:dyDescent="0.35">
      <c r="A16" s="7" t="s">
        <v>6</v>
      </c>
      <c r="B16" s="53">
        <f>SUM(B15)</f>
        <v>-3645</v>
      </c>
      <c r="C16" s="53">
        <f>SUM(C15)</f>
        <v>-1071</v>
      </c>
      <c r="D16" s="53">
        <f>SUM(D15)</f>
        <v>10012415</v>
      </c>
      <c r="E16" s="53">
        <f>SUM(E15)</f>
        <v>1539788</v>
      </c>
      <c r="F16" s="53">
        <f>SUM(F15)</f>
        <v>5065676</v>
      </c>
    </row>
    <row r="17" spans="1:6" ht="16" customHeight="1" x14ac:dyDescent="0.3">
      <c r="A17" s="7" t="s">
        <v>5</v>
      </c>
      <c r="B17" s="54" t="s">
        <v>41</v>
      </c>
      <c r="C17" s="54">
        <v>161353</v>
      </c>
      <c r="D17" s="54">
        <v>3941753</v>
      </c>
      <c r="E17" s="54">
        <v>955003</v>
      </c>
      <c r="F17" s="54">
        <v>7738546</v>
      </c>
    </row>
    <row r="18" spans="1:6" ht="16" customHeight="1" thickBot="1" x14ac:dyDescent="0.35">
      <c r="A18" s="4" t="s">
        <v>20</v>
      </c>
      <c r="B18" s="52">
        <v>-89882</v>
      </c>
      <c r="C18" s="52">
        <v>161887</v>
      </c>
      <c r="D18" s="52">
        <v>3971588</v>
      </c>
      <c r="E18" s="52">
        <v>794045</v>
      </c>
      <c r="F18" s="52">
        <v>7750676</v>
      </c>
    </row>
    <row r="19" spans="1:6" ht="16" customHeight="1" thickBot="1" x14ac:dyDescent="0.35">
      <c r="A19" s="4" t="s">
        <v>2</v>
      </c>
      <c r="B19" s="32">
        <f>SUM(B18)</f>
        <v>-89882</v>
      </c>
      <c r="C19" s="32">
        <f>SUM(C18)</f>
        <v>161887</v>
      </c>
      <c r="D19" s="32">
        <f>SUM(D18)</f>
        <v>3971588</v>
      </c>
      <c r="E19" s="32">
        <f>SUM(E18)</f>
        <v>794045</v>
      </c>
      <c r="F19" s="32">
        <f>SUM(F18)</f>
        <v>7750676</v>
      </c>
    </row>
    <row r="20" spans="1:6" ht="16" customHeight="1" thickBot="1" x14ac:dyDescent="0.35">
      <c r="A20" s="7" t="s">
        <v>1</v>
      </c>
      <c r="B20" s="34">
        <f>B16+B19</f>
        <v>-93527</v>
      </c>
      <c r="C20" s="34">
        <f>C16+C19</f>
        <v>160816</v>
      </c>
      <c r="D20" s="34">
        <f>D16+D19</f>
        <v>13984003</v>
      </c>
      <c r="E20" s="34">
        <f>E16+E19</f>
        <v>2333833</v>
      </c>
      <c r="F20" s="34">
        <f>F16+F19</f>
        <v>12816352</v>
      </c>
    </row>
    <row r="21" spans="1:6" ht="16" customHeight="1" thickBot="1" x14ac:dyDescent="0.35">
      <c r="A21" s="1" t="s">
        <v>0</v>
      </c>
      <c r="B21" s="38">
        <f>B11+B20</f>
        <v>-93534</v>
      </c>
      <c r="C21" s="38">
        <f>C11+C20</f>
        <v>160796</v>
      </c>
      <c r="D21" s="38">
        <f>D11+D20</f>
        <v>13949603</v>
      </c>
      <c r="E21" s="38">
        <f>E11+E20</f>
        <v>2329252</v>
      </c>
      <c r="F21" s="38">
        <f>F11+F20</f>
        <v>12798991</v>
      </c>
    </row>
    <row r="22" spans="1:6" ht="16" customHeight="1" thickTop="1" x14ac:dyDescent="0.3">
      <c r="A22" s="16"/>
    </row>
    <row r="23" spans="1:6" ht="16" customHeight="1" x14ac:dyDescent="0.3">
      <c r="A23" s="42" t="s">
        <v>97</v>
      </c>
    </row>
    <row r="24" spans="1:6" ht="16" customHeight="1" x14ac:dyDescent="0.3">
      <c r="A24" s="42" t="s">
        <v>98</v>
      </c>
      <c r="B24" s="19"/>
      <c r="C24" s="19"/>
      <c r="D24" s="19"/>
      <c r="E24" s="19"/>
      <c r="F24" s="19"/>
    </row>
    <row r="25" spans="1:6" ht="16" customHeight="1" x14ac:dyDescent="0.3">
      <c r="A25" s="41" t="s">
        <v>99</v>
      </c>
    </row>
    <row r="26" spans="1:6" ht="16" customHeight="1" x14ac:dyDescent="0.3">
      <c r="A26" s="41" t="s">
        <v>100</v>
      </c>
      <c r="B26" s="39"/>
      <c r="C26" s="39"/>
      <c r="D26" s="39"/>
      <c r="E26" s="39"/>
      <c r="F26" s="39"/>
    </row>
    <row r="28" spans="1:6" ht="16" customHeight="1" x14ac:dyDescent="0.3">
      <c r="B28" s="19"/>
      <c r="C28" s="19"/>
      <c r="D28" s="19"/>
      <c r="E28" s="19"/>
      <c r="F28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B2D8-D17E-4491-A03A-E2A1FD461E32}">
  <dimension ref="A1:F30"/>
  <sheetViews>
    <sheetView topLeftCell="A5" zoomScale="80" zoomScaleNormal="80" workbookViewId="0">
      <selection activeCell="F20" sqref="F20"/>
    </sheetView>
  </sheetViews>
  <sheetFormatPr defaultColWidth="31.6328125" defaultRowHeight="16" customHeight="1" x14ac:dyDescent="0.3"/>
  <cols>
    <col min="1" max="16384" width="31.6328125" style="2"/>
  </cols>
  <sheetData>
    <row r="1" spans="1:6" ht="33.5" customHeight="1" thickBot="1" x14ac:dyDescent="0.35">
      <c r="A1" s="1"/>
      <c r="B1" s="31" t="s">
        <v>76</v>
      </c>
      <c r="C1" s="31" t="s">
        <v>77</v>
      </c>
      <c r="D1" s="31" t="s">
        <v>78</v>
      </c>
      <c r="E1" s="31" t="s">
        <v>79</v>
      </c>
      <c r="F1" s="31" t="s">
        <v>80</v>
      </c>
    </row>
    <row r="2" spans="1:6" ht="16" customHeight="1" x14ac:dyDescent="0.3">
      <c r="A2" s="1" t="s">
        <v>18</v>
      </c>
      <c r="B2" s="33"/>
      <c r="C2" s="33"/>
      <c r="D2" s="33"/>
      <c r="E2" s="33"/>
      <c r="F2" s="33"/>
    </row>
    <row r="3" spans="1:6" ht="16" customHeight="1" x14ac:dyDescent="0.3">
      <c r="A3" s="4" t="s">
        <v>17</v>
      </c>
      <c r="B3" s="34">
        <v>16636</v>
      </c>
      <c r="C3" s="34">
        <v>1846</v>
      </c>
      <c r="D3" s="34">
        <v>114906</v>
      </c>
      <c r="E3" s="34">
        <v>11467</v>
      </c>
      <c r="F3" s="34">
        <v>353739</v>
      </c>
    </row>
    <row r="4" spans="1:6" ht="16" customHeight="1" thickBot="1" x14ac:dyDescent="0.35">
      <c r="A4" s="4" t="s">
        <v>16</v>
      </c>
      <c r="B4" s="34" t="s">
        <v>22</v>
      </c>
      <c r="C4" s="34">
        <v>8</v>
      </c>
      <c r="D4" s="34" t="s">
        <v>22</v>
      </c>
      <c r="E4" s="34">
        <v>253</v>
      </c>
      <c r="F4" s="34">
        <v>1343</v>
      </c>
    </row>
    <row r="5" spans="1:6" ht="16" customHeight="1" thickBot="1" x14ac:dyDescent="0.35">
      <c r="A5" s="7" t="s">
        <v>15</v>
      </c>
      <c r="B5" s="32">
        <f>SUM(B3:B4)</f>
        <v>16636</v>
      </c>
      <c r="C5" s="32">
        <f>SUM(C3:C4)</f>
        <v>1854</v>
      </c>
      <c r="D5" s="32">
        <f>SUM(D3:D4)</f>
        <v>114906</v>
      </c>
      <c r="E5" s="32">
        <f>SUM(E3:E4)</f>
        <v>11720</v>
      </c>
      <c r="F5" s="32">
        <f>SUM(F3:F4)</f>
        <v>355082</v>
      </c>
    </row>
    <row r="6" spans="1:6" ht="16" customHeight="1" x14ac:dyDescent="0.3">
      <c r="A6" s="5"/>
      <c r="B6" s="33"/>
      <c r="C6" s="33"/>
      <c r="D6" s="33"/>
      <c r="E6" s="33"/>
      <c r="F6" s="33"/>
    </row>
    <row r="7" spans="1:6" ht="16" customHeight="1" x14ac:dyDescent="0.3">
      <c r="A7" s="1" t="s">
        <v>14</v>
      </c>
      <c r="B7" s="35"/>
      <c r="C7" s="35"/>
      <c r="D7" s="35"/>
      <c r="E7" s="35"/>
      <c r="F7" s="35"/>
    </row>
    <row r="8" spans="1:6" ht="16" customHeight="1" x14ac:dyDescent="0.3">
      <c r="A8" s="4" t="s">
        <v>13</v>
      </c>
      <c r="B8" s="34">
        <v>24185</v>
      </c>
      <c r="C8" s="34">
        <v>2927</v>
      </c>
      <c r="D8" s="34">
        <v>158852</v>
      </c>
      <c r="E8" s="34">
        <v>19172</v>
      </c>
      <c r="F8" s="34">
        <v>414093</v>
      </c>
    </row>
    <row r="9" spans="1:6" ht="16" customHeight="1" thickBot="1" x14ac:dyDescent="0.35">
      <c r="A9" s="21" t="s">
        <v>82</v>
      </c>
      <c r="B9" s="34">
        <v>143</v>
      </c>
      <c r="C9" s="34" t="s">
        <v>22</v>
      </c>
      <c r="D9" s="34">
        <v>5363</v>
      </c>
      <c r="E9" s="34" t="s">
        <v>22</v>
      </c>
      <c r="F9" s="34" t="s">
        <v>22</v>
      </c>
    </row>
    <row r="10" spans="1:6" ht="16" customHeight="1" thickBot="1" x14ac:dyDescent="0.35">
      <c r="A10" s="7" t="s">
        <v>11</v>
      </c>
      <c r="B10" s="36">
        <f>SUM(B8:B9)</f>
        <v>24328</v>
      </c>
      <c r="C10" s="36">
        <f t="shared" ref="C10:F10" si="0">SUM(C8:C9)</f>
        <v>2927</v>
      </c>
      <c r="D10" s="36">
        <f t="shared" si="0"/>
        <v>164215</v>
      </c>
      <c r="E10" s="36">
        <f t="shared" si="0"/>
        <v>19172</v>
      </c>
      <c r="F10" s="36">
        <f t="shared" si="0"/>
        <v>414093</v>
      </c>
    </row>
    <row r="11" spans="1:6" ht="16" customHeight="1" thickBot="1" x14ac:dyDescent="0.35">
      <c r="A11" s="11" t="s">
        <v>23</v>
      </c>
      <c r="B11" s="32">
        <f>B5-B10</f>
        <v>-7692</v>
      </c>
      <c r="C11" s="32">
        <f>C5-C10</f>
        <v>-1073</v>
      </c>
      <c r="D11" s="32">
        <f>D5-D10</f>
        <v>-49309</v>
      </c>
      <c r="E11" s="32">
        <f>E5-E10</f>
        <v>-7452</v>
      </c>
      <c r="F11" s="32">
        <f>F5-F10</f>
        <v>-59011</v>
      </c>
    </row>
    <row r="12" spans="1:6" ht="16" customHeight="1" x14ac:dyDescent="0.3">
      <c r="A12" s="5"/>
      <c r="B12" s="33"/>
      <c r="C12" s="33"/>
      <c r="D12" s="33"/>
      <c r="E12" s="33"/>
      <c r="F12" s="33"/>
    </row>
    <row r="13" spans="1:6" ht="16" customHeight="1" x14ac:dyDescent="0.3">
      <c r="A13" s="1" t="s">
        <v>9</v>
      </c>
      <c r="B13" s="35"/>
      <c r="C13" s="35"/>
      <c r="D13" s="35"/>
      <c r="E13" s="35"/>
      <c r="F13" s="35"/>
    </row>
    <row r="14" spans="1:6" ht="16" customHeight="1" x14ac:dyDescent="0.3">
      <c r="A14" s="7" t="s">
        <v>8</v>
      </c>
      <c r="B14" s="37" t="s">
        <v>44</v>
      </c>
      <c r="C14" s="37">
        <v>143191</v>
      </c>
      <c r="D14" s="37">
        <v>62683</v>
      </c>
      <c r="E14" s="37">
        <v>1756267</v>
      </c>
      <c r="F14" s="37">
        <v>22998354</v>
      </c>
    </row>
    <row r="15" spans="1:6" ht="16" customHeight="1" x14ac:dyDescent="0.3">
      <c r="A15" s="4" t="s">
        <v>4</v>
      </c>
      <c r="B15" s="34" t="s">
        <v>22</v>
      </c>
      <c r="C15" s="34" t="s">
        <v>22</v>
      </c>
      <c r="D15" s="34">
        <v>-4349277</v>
      </c>
      <c r="E15" s="34" t="s">
        <v>22</v>
      </c>
      <c r="F15" s="34" t="s">
        <v>22</v>
      </c>
    </row>
    <row r="16" spans="1:6" ht="16" customHeight="1" thickBot="1" x14ac:dyDescent="0.35">
      <c r="A16" s="4" t="s">
        <v>20</v>
      </c>
      <c r="B16" s="52">
        <f>-2216314+2884</f>
        <v>-2213430</v>
      </c>
      <c r="C16" s="52">
        <f>82802+5003</f>
        <v>87805</v>
      </c>
      <c r="D16" s="52">
        <f>4549899-221960</f>
        <v>4327939</v>
      </c>
      <c r="E16" s="52">
        <f>1637611-79548</f>
        <v>1558063</v>
      </c>
      <c r="F16" s="52">
        <f>22249229+21464985</f>
        <v>43714214</v>
      </c>
    </row>
    <row r="17" spans="1:6" ht="16" customHeight="1" thickBot="1" x14ac:dyDescent="0.35">
      <c r="A17" s="7" t="s">
        <v>6</v>
      </c>
      <c r="B17" s="53">
        <f>SUM(B15:B16)</f>
        <v>-2213430</v>
      </c>
      <c r="C17" s="53">
        <f>SUM(C15:C16)</f>
        <v>87805</v>
      </c>
      <c r="D17" s="53">
        <f>SUM(D15:D16)</f>
        <v>-21338</v>
      </c>
      <c r="E17" s="53">
        <f>SUM(E15:E16)</f>
        <v>1558063</v>
      </c>
      <c r="F17" s="53">
        <f>SUM(F15:F16)</f>
        <v>43714214</v>
      </c>
    </row>
    <row r="18" spans="1:6" ht="33.5" customHeight="1" x14ac:dyDescent="0.3">
      <c r="A18" s="7" t="s">
        <v>5</v>
      </c>
      <c r="B18" s="54">
        <v>257300</v>
      </c>
      <c r="C18" s="54">
        <v>337578</v>
      </c>
      <c r="D18" s="54">
        <v>13035068</v>
      </c>
      <c r="E18" s="54">
        <v>1678951</v>
      </c>
      <c r="F18" s="54">
        <v>62940019</v>
      </c>
    </row>
    <row r="19" spans="1:6" ht="16" customHeight="1" thickBot="1" x14ac:dyDescent="0.35">
      <c r="A19" s="4" t="s">
        <v>20</v>
      </c>
      <c r="B19" s="52">
        <v>262982</v>
      </c>
      <c r="C19" s="52">
        <v>392921</v>
      </c>
      <c r="D19" s="52">
        <v>13271506</v>
      </c>
      <c r="E19" s="52">
        <v>1877269</v>
      </c>
      <c r="F19" s="52">
        <v>42207952</v>
      </c>
    </row>
    <row r="20" spans="1:6" ht="26.5" customHeight="1" thickBot="1" x14ac:dyDescent="0.35">
      <c r="A20" s="4" t="s">
        <v>2</v>
      </c>
      <c r="B20" s="53">
        <f>SUM(B19)</f>
        <v>262982</v>
      </c>
      <c r="C20" s="53">
        <f>SUM(C19)</f>
        <v>392921</v>
      </c>
      <c r="D20" s="53">
        <f>SUM(D19)</f>
        <v>13271506</v>
      </c>
      <c r="E20" s="53">
        <f>SUM(E19)</f>
        <v>1877269</v>
      </c>
      <c r="F20" s="53">
        <f>SUM(F19)</f>
        <v>42207952</v>
      </c>
    </row>
    <row r="21" spans="1:6" ht="16" customHeight="1" thickBot="1" x14ac:dyDescent="0.35">
      <c r="A21" s="7" t="s">
        <v>1</v>
      </c>
      <c r="B21" s="34">
        <f>B20+B17</f>
        <v>-1950448</v>
      </c>
      <c r="C21" s="34">
        <f>C20+C17</f>
        <v>480726</v>
      </c>
      <c r="D21" s="34">
        <f>D20+D17</f>
        <v>13250168</v>
      </c>
      <c r="E21" s="34">
        <f>E20+E17</f>
        <v>3435332</v>
      </c>
      <c r="F21" s="34">
        <f>F20+F17</f>
        <v>85922166</v>
      </c>
    </row>
    <row r="22" spans="1:6" ht="35" customHeight="1" thickBot="1" x14ac:dyDescent="0.35">
      <c r="A22" s="1" t="s">
        <v>0</v>
      </c>
      <c r="B22" s="38">
        <f>B21+B11</f>
        <v>-1958140</v>
      </c>
      <c r="C22" s="38">
        <f>C21+C11</f>
        <v>479653</v>
      </c>
      <c r="D22" s="38">
        <f>D21+D11</f>
        <v>13200859</v>
      </c>
      <c r="E22" s="38">
        <f>E21+E11</f>
        <v>3427880</v>
      </c>
      <c r="F22" s="38">
        <f>F21+F11</f>
        <v>85863155</v>
      </c>
    </row>
    <row r="23" spans="1:6" ht="16" customHeight="1" thickTop="1" x14ac:dyDescent="0.3">
      <c r="A23" s="16"/>
    </row>
    <row r="24" spans="1:6" ht="16" customHeight="1" x14ac:dyDescent="0.3">
      <c r="A24" s="42" t="s">
        <v>101</v>
      </c>
    </row>
    <row r="25" spans="1:6" ht="16" customHeight="1" x14ac:dyDescent="0.3">
      <c r="A25" s="42" t="s">
        <v>102</v>
      </c>
      <c r="B25" s="19"/>
      <c r="C25" s="19"/>
      <c r="D25" s="19"/>
      <c r="E25" s="19"/>
      <c r="F25" s="19"/>
    </row>
    <row r="26" spans="1:6" ht="16" customHeight="1" x14ac:dyDescent="0.3">
      <c r="A26" s="41" t="s">
        <v>103</v>
      </c>
    </row>
    <row r="27" spans="1:6" ht="16" customHeight="1" x14ac:dyDescent="0.3">
      <c r="A27" s="41" t="s">
        <v>86</v>
      </c>
      <c r="B27" s="39"/>
      <c r="C27" s="39"/>
      <c r="D27" s="39"/>
      <c r="E27" s="39"/>
      <c r="F27" s="39"/>
    </row>
    <row r="28" spans="1:6" ht="16" customHeight="1" x14ac:dyDescent="0.3">
      <c r="A28" s="41" t="s">
        <v>104</v>
      </c>
    </row>
    <row r="30" spans="1:6" ht="16" customHeight="1" x14ac:dyDescent="0.3">
      <c r="B30" s="19"/>
      <c r="C30" s="19"/>
      <c r="D30" s="19"/>
      <c r="E30" s="19"/>
      <c r="F30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A4A1-0485-4126-A672-653B16BAA9BD}">
  <dimension ref="A1:F27"/>
  <sheetViews>
    <sheetView zoomScale="80" zoomScaleNormal="80" workbookViewId="0">
      <selection activeCell="D15" sqref="D15"/>
    </sheetView>
  </sheetViews>
  <sheetFormatPr defaultColWidth="31.6328125" defaultRowHeight="16" customHeight="1" x14ac:dyDescent="0.3"/>
  <cols>
    <col min="1" max="16384" width="31.6328125" style="2"/>
  </cols>
  <sheetData>
    <row r="1" spans="1:6" ht="33.5" customHeight="1" thickBot="1" x14ac:dyDescent="0.35">
      <c r="A1" s="1"/>
      <c r="B1" s="31" t="s">
        <v>45</v>
      </c>
    </row>
    <row r="2" spans="1:6" ht="16" customHeight="1" x14ac:dyDescent="0.3">
      <c r="A2" s="1" t="s">
        <v>18</v>
      </c>
      <c r="B2" s="33"/>
      <c r="C2" s="39"/>
      <c r="D2" s="39"/>
      <c r="E2" s="39"/>
      <c r="F2" s="39"/>
    </row>
    <row r="3" spans="1:6" ht="16" customHeight="1" thickBot="1" x14ac:dyDescent="0.35">
      <c r="A3" s="4" t="s">
        <v>17</v>
      </c>
      <c r="B3" s="34">
        <v>9401</v>
      </c>
      <c r="C3" s="39"/>
      <c r="D3" s="39"/>
      <c r="E3" s="39"/>
      <c r="F3" s="39"/>
    </row>
    <row r="4" spans="1:6" ht="16" customHeight="1" thickBot="1" x14ac:dyDescent="0.35">
      <c r="A4" s="7" t="s">
        <v>15</v>
      </c>
      <c r="B4" s="32">
        <v>9401</v>
      </c>
      <c r="C4" s="39"/>
      <c r="D4" s="39"/>
      <c r="E4" s="39"/>
      <c r="F4" s="39"/>
    </row>
    <row r="5" spans="1:6" ht="16" customHeight="1" x14ac:dyDescent="0.3">
      <c r="A5" s="5"/>
      <c r="B5" s="33"/>
      <c r="C5" s="39"/>
      <c r="D5" s="39"/>
      <c r="E5" s="39"/>
      <c r="F5" s="39"/>
    </row>
    <row r="6" spans="1:6" ht="16" customHeight="1" x14ac:dyDescent="0.3">
      <c r="A6" s="1" t="s">
        <v>14</v>
      </c>
      <c r="B6" s="35"/>
      <c r="C6" s="39"/>
      <c r="D6" s="39"/>
      <c r="E6" s="39"/>
      <c r="F6" s="39"/>
    </row>
    <row r="7" spans="1:6" ht="16" customHeight="1" x14ac:dyDescent="0.3">
      <c r="A7" s="4" t="s">
        <v>13</v>
      </c>
      <c r="B7" s="34">
        <v>8619</v>
      </c>
      <c r="C7" s="39"/>
      <c r="D7" s="39"/>
      <c r="E7" s="39"/>
      <c r="F7" s="39"/>
    </row>
    <row r="8" spans="1:6" ht="16" customHeight="1" thickBot="1" x14ac:dyDescent="0.35">
      <c r="A8" s="21" t="s">
        <v>82</v>
      </c>
      <c r="B8" s="34">
        <v>35</v>
      </c>
      <c r="C8" s="39"/>
      <c r="D8" s="39"/>
      <c r="E8" s="39"/>
      <c r="F8" s="39"/>
    </row>
    <row r="9" spans="1:6" ht="16" customHeight="1" thickBot="1" x14ac:dyDescent="0.35">
      <c r="A9" s="7" t="s">
        <v>11</v>
      </c>
      <c r="B9" s="36">
        <f>SUM(B7:B8)</f>
        <v>8654</v>
      </c>
      <c r="C9" s="39"/>
      <c r="D9" s="39"/>
      <c r="E9" s="39"/>
      <c r="F9" s="39"/>
    </row>
    <row r="10" spans="1:6" ht="16" customHeight="1" thickBot="1" x14ac:dyDescent="0.35">
      <c r="A10" s="11" t="s">
        <v>10</v>
      </c>
      <c r="B10" s="32">
        <f>B4-B9</f>
        <v>747</v>
      </c>
      <c r="C10" s="39"/>
      <c r="D10" s="39"/>
      <c r="E10" s="39"/>
      <c r="F10" s="39"/>
    </row>
    <row r="11" spans="1:6" ht="16" customHeight="1" x14ac:dyDescent="0.3">
      <c r="A11" s="5"/>
      <c r="B11" s="33"/>
      <c r="C11" s="39"/>
      <c r="D11" s="39"/>
      <c r="E11" s="39"/>
      <c r="F11" s="39"/>
    </row>
    <row r="12" spans="1:6" ht="16" customHeight="1" x14ac:dyDescent="0.3">
      <c r="A12" s="1" t="s">
        <v>9</v>
      </c>
      <c r="B12" s="35"/>
      <c r="C12" s="39"/>
      <c r="D12" s="39"/>
      <c r="E12" s="39"/>
      <c r="F12" s="39"/>
    </row>
    <row r="13" spans="1:6" ht="16" customHeight="1" x14ac:dyDescent="0.3">
      <c r="A13" s="7" t="s">
        <v>8</v>
      </c>
      <c r="B13" s="37">
        <v>382819</v>
      </c>
      <c r="C13" s="39"/>
      <c r="D13" s="39"/>
      <c r="E13" s="39"/>
      <c r="F13" s="39"/>
    </row>
    <row r="14" spans="1:6" ht="16" customHeight="1" thickBot="1" x14ac:dyDescent="0.35">
      <c r="A14" s="4" t="s">
        <v>20</v>
      </c>
      <c r="B14" s="52">
        <f>382792+50657</f>
        <v>433449</v>
      </c>
      <c r="C14" s="39"/>
      <c r="D14" s="39"/>
      <c r="E14" s="39"/>
      <c r="F14" s="39"/>
    </row>
    <row r="15" spans="1:6" ht="16" customHeight="1" thickBot="1" x14ac:dyDescent="0.35">
      <c r="A15" s="7" t="s">
        <v>6</v>
      </c>
      <c r="B15" s="53">
        <f>SUM(B14:B14)</f>
        <v>433449</v>
      </c>
      <c r="C15" s="39"/>
      <c r="D15" s="39"/>
      <c r="E15" s="39"/>
      <c r="F15" s="39"/>
    </row>
    <row r="16" spans="1:6" ht="16" customHeight="1" x14ac:dyDescent="0.3">
      <c r="A16" s="7" t="s">
        <v>5</v>
      </c>
      <c r="B16" s="54">
        <v>591221</v>
      </c>
      <c r="C16" s="39"/>
      <c r="D16" s="39"/>
      <c r="E16" s="39"/>
      <c r="F16" s="39"/>
    </row>
    <row r="17" spans="1:6" ht="16" customHeight="1" thickBot="1" x14ac:dyDescent="0.35">
      <c r="A17" s="4" t="s">
        <v>20</v>
      </c>
      <c r="B17" s="52">
        <v>541199</v>
      </c>
      <c r="C17" s="39"/>
      <c r="D17" s="39"/>
      <c r="E17" s="39"/>
      <c r="F17" s="39"/>
    </row>
    <row r="18" spans="1:6" ht="16" customHeight="1" thickBot="1" x14ac:dyDescent="0.35">
      <c r="A18" s="4" t="s">
        <v>2</v>
      </c>
      <c r="B18" s="53">
        <f>SUM(B17)</f>
        <v>541199</v>
      </c>
      <c r="C18" s="39"/>
      <c r="D18" s="39"/>
      <c r="E18" s="39"/>
      <c r="F18" s="39"/>
    </row>
    <row r="19" spans="1:6" ht="16" customHeight="1" thickBot="1" x14ac:dyDescent="0.35">
      <c r="A19" s="7" t="s">
        <v>1</v>
      </c>
      <c r="B19" s="34">
        <f>B15+B18</f>
        <v>974648</v>
      </c>
      <c r="C19" s="39"/>
      <c r="D19" s="39"/>
      <c r="E19" s="39"/>
      <c r="F19" s="39"/>
    </row>
    <row r="20" spans="1:6" ht="16" customHeight="1" thickBot="1" x14ac:dyDescent="0.35">
      <c r="A20" s="1" t="s">
        <v>0</v>
      </c>
      <c r="B20" s="15">
        <f>B10+B19</f>
        <v>975395</v>
      </c>
    </row>
    <row r="21" spans="1:6" ht="16" customHeight="1" thickTop="1" x14ac:dyDescent="0.3"/>
    <row r="22" spans="1:6" ht="16" customHeight="1" x14ac:dyDescent="0.3">
      <c r="A22" s="41" t="s">
        <v>101</v>
      </c>
    </row>
    <row r="24" spans="1:6" ht="16" customHeight="1" x14ac:dyDescent="0.3">
      <c r="B24" s="19"/>
      <c r="C24" s="19"/>
      <c r="D24" s="19"/>
      <c r="E24" s="19"/>
      <c r="F24" s="19"/>
    </row>
    <row r="27" spans="1:6" ht="16" customHeight="1" x14ac:dyDescent="0.3">
      <c r="B27" s="19"/>
      <c r="C27" s="19"/>
      <c r="D27" s="19"/>
      <c r="E27" s="19"/>
      <c r="F2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Sheet9</vt:lpstr>
      <vt:lpstr>Sheet10</vt:lpstr>
      <vt:lpstr>Sheet11</vt:lpstr>
      <vt:lpstr>Sheet12</vt:lpstr>
      <vt:lpstr>Sheet13</vt:lpstr>
      <vt:lpstr>Sheet14</vt:lpstr>
      <vt:lpstr>Sheet16</vt:lpstr>
      <vt:lpstr>Sheet17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Sliga, Brandon J</dc:creator>
  <cp:lastModifiedBy>Sliga, Brandon J</cp:lastModifiedBy>
  <dcterms:created xsi:type="dcterms:W3CDTF">2025-11-21T22:58:28Z</dcterms:created>
  <dcterms:modified xsi:type="dcterms:W3CDTF">2025-12-19T01:46:49Z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2025-11-21T22:58:32Z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312cfbce-8c2a-4f9d-883c-baa89c53cefa</vt:lpwstr>
  </property>
  <property fmtid="{D5CDD505-2E9C-101B-9397-08002B2CF9AE}" pid="8" name="MSIP_Label_320df1db-9955-4087-a541-42c2f5a9332e_ContentBits">
    <vt:lpwstr>0</vt:lpwstr>
  </property>
  <property fmtid="{D5CDD505-2E9C-101B-9397-08002B2CF9AE}" pid="9" name="MSIP_Label_320df1db-9955-4087-a541-42c2f5a9332e_Tag">
    <vt:lpwstr>10, 3, 0, 1</vt:lpwstr>
  </property>
</Properties>
</file>