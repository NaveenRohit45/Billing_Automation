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V:\123DATA\Themes\Audit\2. Leverage Shares\FY 2025\10.31.25 Annual\Notes to Financial Statements\"/>
    </mc:Choice>
  </mc:AlternateContent>
  <xr:revisionPtr revIDLastSave="0" documentId="13_ncr:1_{D2EF2C9A-F28C-4F69-BDE2-4470E58C86EF}" xr6:coauthVersionLast="47" xr6:coauthVersionMax="47" xr10:uidLastSave="{00000000-0000-0000-0000-000000000000}"/>
  <bookViews>
    <workbookView xWindow="-110" yWindow="-110" windowWidth="19420" windowHeight="10300" xr2:uid="{33B99697-92C3-45D5-B280-2CA7026CD6ED}"/>
  </bookViews>
  <sheets>
    <sheet name="Themes 9.30.24" sheetId="1" r:id="rId1"/>
  </sheets>
  <definedNames>
    <definedName name="_xlnm.Print_Area" localSheetId="0">'Themes 9.30.24'!$A$1:$E$153</definedName>
    <definedName name="Z_20A7E217_DB3D_49CD_AC76_C90FB8B50719_.wvu.PrintArea" localSheetId="0" hidden="1">'Themes 9.30.24'!$A$1:$D$54</definedName>
    <definedName name="Z_30023AFD_74C1_4136_B36C_FB096E7269F1_.wvu.PrintArea" localSheetId="0" hidden="1">'Themes 9.30.24'!$A$17:$D$54</definedName>
    <definedName name="Z_46B6B6A2_D022_47FD_B5C9_18EBED26002C_.wvu.PrintArea" localSheetId="0" hidden="1">'Themes 9.30.24'!$A$35:$D$54</definedName>
    <definedName name="Z_61F8D9AF_0BEB_46EE_8882_38A3F74E8450_.wvu.PrintArea" localSheetId="0" hidden="1">'Themes 9.30.24'!$A$1:$D$54</definedName>
    <definedName name="Z_680B4598_405C_44CA_8CFC_4FC2BA1C28BD_.wvu.PrintArea" localSheetId="0" hidden="1">'Themes 9.30.24'!$A$1:$D$54</definedName>
    <definedName name="Z_6C3411DE_83C0_4A23_816E_4C7E6D3EA22A_.wvu.PrintArea" localSheetId="0" hidden="1">'Themes 9.30.24'!$A$35:$D$54</definedName>
    <definedName name="Z_7367E357_AA0F_4878_B4B5_331F9B54C1F2_.wvu.PrintArea" localSheetId="0" hidden="1">'Themes 9.30.24'!$A$1:$D$54</definedName>
    <definedName name="Z_E7B4C8A2_2EC8_4BEC_93FB_877E12EA5267_.wvu.PrintArea" localSheetId="0" hidden="1">'Themes 9.30.24'!$A$53:$D$54</definedName>
  </definedNames>
  <calcPr calcId="191029"/>
  <customWorkbookViews>
    <customWorkbookView name="Keller, Julie A - Personal View" guid="{20A7E217-DB3D-49CD-AC76-C90FB8B50719}" mergeInterval="0" personalView="1" maximized="1" windowWidth="1596" windowHeight="595" activeSheetId="1"/>
    <customWorkbookView name="Jenkins, Armond R - Personal View" guid="{30023AFD-74C1-4136-B36C-FB096E7269F1}" mergeInterval="0" personalView="1" maximized="1" windowWidth="1436" windowHeight="655" activeSheetId="1"/>
    <customWorkbookView name="Conrad, Dionne S - Personal View" guid="{46B6B6A2-D022-47FD-B5C9-18EBED26002C}" mergeInterval="0" personalView="1" maximized="1" windowWidth="1436" windowHeight="674" activeSheetId="1"/>
    <customWorkbookView name="ld - Personal View" guid="{E7B4C8A2-2EC8-4BEC-93FB-877E12EA5267}" mergeInterval="0" personalView="1" maximized="1" windowWidth="1148" windowHeight="699" activeSheetId="1" showComments="commNone"/>
    <customWorkbookView name="Sliga, Brandon J - Personal View" guid="{6C3411DE-83C0-4A23-816E-4C7E6D3EA22A}" mergeInterval="0" personalView="1" maximized="1" windowWidth="1596" windowHeight="646" activeSheetId="1"/>
    <customWorkbookView name="Duma, Leann - Personal View" guid="{61F8D9AF-0BEB-46EE-8882-38A3F74E8450}" mergeInterval="0" personalView="1" maximized="1" windowWidth="1436" windowHeight="678" activeSheetId="1" showComments="commIndAndComment"/>
    <customWorkbookView name="Hatinger, Joshua C - Personal View" guid="{680B4598-405C-44CA-8CFC-4FC2BA1C28BD}" mergeInterval="0" personalView="1" maximized="1" windowWidth="1440" windowHeight="714" activeSheetId="1"/>
    <customWorkbookView name="Scholz, Mark H - Personal View" guid="{7367E357-AA0F-4878-B4B5-331F9B54C1F2}" mergeInterval="0" personalView="1" maximized="1" windowWidth="1596" windowHeight="675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E148" i="1"/>
  <c r="D148" i="1"/>
  <c r="C148" i="1"/>
  <c r="B148" i="1"/>
  <c r="B152" i="1" s="1"/>
  <c r="E144" i="1"/>
  <c r="D144" i="1"/>
  <c r="C144" i="1"/>
  <c r="B144" i="1"/>
  <c r="E131" i="1"/>
  <c r="D131" i="1"/>
  <c r="C131" i="1"/>
  <c r="B131" i="1"/>
  <c r="E127" i="1"/>
  <c r="D127" i="1"/>
  <c r="C127" i="1"/>
  <c r="B127" i="1"/>
  <c r="E114" i="1"/>
  <c r="D114" i="1"/>
  <c r="C114" i="1"/>
  <c r="B114" i="1"/>
  <c r="E110" i="1"/>
  <c r="D110" i="1"/>
  <c r="C110" i="1"/>
  <c r="B110" i="1"/>
  <c r="E97" i="1"/>
  <c r="D97" i="1"/>
  <c r="C97" i="1"/>
  <c r="B97" i="1"/>
  <c r="E93" i="1"/>
  <c r="D93" i="1"/>
  <c r="C93" i="1"/>
  <c r="B93" i="1"/>
  <c r="E80" i="1"/>
  <c r="D80" i="1"/>
  <c r="C80" i="1"/>
  <c r="B80" i="1"/>
  <c r="E76" i="1"/>
  <c r="D76" i="1"/>
  <c r="C76" i="1"/>
  <c r="B76" i="1"/>
  <c r="E63" i="1"/>
  <c r="D63" i="1"/>
  <c r="C63" i="1"/>
  <c r="B63" i="1"/>
  <c r="E59" i="1"/>
  <c r="D59" i="1"/>
  <c r="C59" i="1"/>
  <c r="B59" i="1"/>
  <c r="E46" i="1"/>
  <c r="D46" i="1"/>
  <c r="C46" i="1"/>
  <c r="B46" i="1"/>
  <c r="E42" i="1"/>
  <c r="D42" i="1"/>
  <c r="C42" i="1"/>
  <c r="B42" i="1"/>
  <c r="E29" i="1"/>
  <c r="D29" i="1"/>
  <c r="C29" i="1"/>
  <c r="B29" i="1"/>
  <c r="E25" i="1"/>
  <c r="D25" i="1"/>
  <c r="C25" i="1"/>
  <c r="E12" i="1"/>
  <c r="E8" i="1"/>
  <c r="D12" i="1"/>
  <c r="D8" i="1"/>
  <c r="C12" i="1"/>
  <c r="C8" i="1"/>
  <c r="B8" i="1"/>
  <c r="B12" i="1"/>
  <c r="C152" i="1" l="1"/>
  <c r="D135" i="1"/>
  <c r="C135" i="1"/>
  <c r="B135" i="1"/>
  <c r="D118" i="1"/>
  <c r="C118" i="1"/>
  <c r="C101" i="1"/>
  <c r="C67" i="1"/>
  <c r="B67" i="1"/>
  <c r="D50" i="1"/>
  <c r="E33" i="1"/>
  <c r="E67" i="1"/>
  <c r="B33" i="1"/>
  <c r="B50" i="1"/>
  <c r="E50" i="1"/>
  <c r="E84" i="1"/>
  <c r="E135" i="1"/>
  <c r="D84" i="1"/>
  <c r="D16" i="1"/>
  <c r="E101" i="1"/>
  <c r="E118" i="1"/>
  <c r="D152" i="1"/>
  <c r="D33" i="1"/>
  <c r="B84" i="1"/>
  <c r="B101" i="1"/>
  <c r="B118" i="1"/>
  <c r="E152" i="1"/>
  <c r="C16" i="1"/>
  <c r="C84" i="1"/>
  <c r="D101" i="1"/>
  <c r="C50" i="1"/>
  <c r="E16" i="1"/>
  <c r="C33" i="1"/>
  <c r="D67" i="1"/>
  <c r="B16" i="1"/>
</calcChain>
</file>

<file path=xl/sharedStrings.xml><?xml version="1.0" encoding="utf-8"?>
<sst xmlns="http://schemas.openxmlformats.org/spreadsheetml/2006/main" count="189" uniqueCount="50">
  <si>
    <t>Tax cost of investments</t>
  </si>
  <si>
    <t>Gross unrealized appreciation</t>
  </si>
  <si>
    <t>Gross unrealized depreciation</t>
  </si>
  <si>
    <t xml:space="preserve">Undistributed ordinary income </t>
  </si>
  <si>
    <t>Undistributed capital gain</t>
  </si>
  <si>
    <t>Total distributable earnings</t>
  </si>
  <si>
    <t>Other accumulated losses</t>
  </si>
  <si>
    <t xml:space="preserve">Total accumulated earnings </t>
  </si>
  <si>
    <t>Net unrealized appreciation</t>
  </si>
  <si>
    <t>Leverage Shares</t>
  </si>
  <si>
    <t>2X Capped Accelerated</t>
  </si>
  <si>
    <t>COIN Monthly ETF</t>
  </si>
  <si>
    <t>MSTR Monthly ETF</t>
  </si>
  <si>
    <t>NVDA Monthly ETF</t>
  </si>
  <si>
    <t>PLTR Monthly ETF</t>
  </si>
  <si>
    <t>TSLA Monthly ETF</t>
  </si>
  <si>
    <t>2X Long</t>
  </si>
  <si>
    <t>AAL Daily ETF</t>
  </si>
  <si>
    <t>ADBE Daily ETF</t>
  </si>
  <si>
    <t>AMD Daily ETF</t>
  </si>
  <si>
    <t>ARM Daily ETF</t>
  </si>
  <si>
    <t>ASML Daily ETF</t>
  </si>
  <si>
    <t>AVGO Daily ETF</t>
  </si>
  <si>
    <t>BA Daily ETF</t>
  </si>
  <si>
    <t>BBAI Daily ETF</t>
  </si>
  <si>
    <t>BLSH Daily ETF</t>
  </si>
  <si>
    <t>BMNR Daily ETF</t>
  </si>
  <si>
    <t>BULL Daily ETF</t>
  </si>
  <si>
    <t>COIN Daily ETF</t>
  </si>
  <si>
    <t>COST Daily ETF</t>
  </si>
  <si>
    <t>CRCL Daily ETF</t>
  </si>
  <si>
    <t>CRM Daily ETF</t>
  </si>
  <si>
    <t>CRWV Daily ETF</t>
  </si>
  <si>
    <t>FIG Daily ETF</t>
  </si>
  <si>
    <t>FUTU Daily ETF</t>
  </si>
  <si>
    <t>GLXY Daily ETF</t>
  </si>
  <si>
    <t>HOOD Daily ETF</t>
  </si>
  <si>
    <t>MP Daily ETF</t>
  </si>
  <si>
    <t>NBIS Daily ETF</t>
  </si>
  <si>
    <t>NVDA Daily ETF</t>
  </si>
  <si>
    <t>PANW Daily ETF</t>
  </si>
  <si>
    <t>PLTR Daily ETF</t>
  </si>
  <si>
    <t>PYPL Daily ETF</t>
  </si>
  <si>
    <t>RTX Daily ETF</t>
  </si>
  <si>
    <t>TSLA Daily ETF</t>
  </si>
  <si>
    <t>TSM Daily ETF</t>
  </si>
  <si>
    <t>UNH Daily ETF</t>
  </si>
  <si>
    <t>XYZ Daily ETF</t>
  </si>
  <si>
    <t>Total accumulated earnings (losses)</t>
  </si>
  <si>
    <t>Net unrealized appreciation (depreciation)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</si>
</sst>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164" fontId="3" fillId="0" borderId="0" xfId="1" applyNumberFormat="1" applyFont="1"/>
    <xf numFmtId="0" fontId="3" fillId="0" borderId="0" xfId="0" applyFont="1"/>
    <xf numFmtId="164" fontId="4" fillId="0" borderId="0" xfId="1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7" fillId="0" borderId="0" xfId="1" applyNumberFormat="1" applyFont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165" fontId="6" fillId="0" borderId="0" xfId="2" applyNumberFormat="1" applyFont="1"/>
    <xf numFmtId="164" fontId="6" fillId="0" borderId="0" xfId="1" applyNumberFormat="1" applyFont="1"/>
    <xf numFmtId="164" fontId="6" fillId="0" borderId="1" xfId="1" applyNumberFormat="1" applyFont="1" applyBorder="1"/>
    <xf numFmtId="165" fontId="6" fillId="0" borderId="2" xfId="2" applyNumberFormat="1" applyFont="1" applyBorder="1"/>
    <xf numFmtId="164" fontId="6" fillId="0" borderId="3" xfId="1" applyNumberFormat="1" applyFont="1" applyBorder="1"/>
    <xf numFmtId="164" fontId="6" fillId="0" borderId="1" xfId="1" applyNumberFormat="1" applyFont="1" applyFill="1" applyBorder="1"/>
    <xf numFmtId="164" fontId="6" fillId="0" borderId="0" xfId="1" applyNumberFormat="1" applyFont="1" applyFill="1"/>
    <xf numFmtId="165" fontId="6" fillId="0" borderId="2" xfId="2" applyNumberFormat="1" applyFont="1" applyFill="1" applyBorder="1"/>
    <xf numFmtId="165" fontId="6" fillId="0" borderId="0" xfId="2" applyNumberFormat="1" applyFont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2F04E-8E27-46D5-B423-BF52ABB1193E}">
  <sheetPr>
    <pageSetUpPr fitToPage="1"/>
  </sheetPr>
  <dimension ref="A1:J153"/>
  <sheetViews>
    <sheetView tabSelected="1" view="pageBreakPreview" zoomScaleNormal="75" zoomScaleSheetLayoutView="100" workbookViewId="0"/>
  </sheetViews>
  <sheetFormatPr defaultColWidth="9.1796875" defaultRowHeight="12.5" x14ac:dyDescent="0.25"/>
  <cols>
    <col min="1" max="1" width="36.54296875" style="4" customWidth="1"/>
    <col min="2" max="2" width="22.90625" style="3" bestFit="1" customWidth="1"/>
    <col min="3" max="3" width="19.26953125" style="3" customWidth="1"/>
    <col min="4" max="5" width="20.36328125" style="3" bestFit="1" customWidth="1"/>
    <col min="6" max="9" width="13.26953125" style="3" bestFit="1" customWidth="1"/>
    <col min="10" max="10" width="17.453125" style="3" customWidth="1"/>
    <col min="11" max="16384" width="9.1796875" style="4"/>
  </cols>
  <sheetData>
    <row r="1" spans="1:10" s="2" customFormat="1" ht="12.75" customHeight="1" x14ac:dyDescent="0.3">
      <c r="A1" s="6"/>
      <c r="B1" s="7" t="s">
        <v>9</v>
      </c>
      <c r="C1" s="7" t="s">
        <v>9</v>
      </c>
      <c r="D1" s="7" t="s">
        <v>9</v>
      </c>
      <c r="E1" s="7" t="s">
        <v>9</v>
      </c>
      <c r="F1" s="1"/>
      <c r="G1" s="1"/>
      <c r="H1" s="1"/>
      <c r="I1" s="1"/>
      <c r="J1" s="1"/>
    </row>
    <row r="2" spans="1:10" s="2" customFormat="1" ht="12.75" customHeight="1" x14ac:dyDescent="0.3">
      <c r="A2" s="6"/>
      <c r="B2" s="7" t="s">
        <v>10</v>
      </c>
      <c r="C2" s="7" t="s">
        <v>10</v>
      </c>
      <c r="D2" s="7" t="s">
        <v>10</v>
      </c>
      <c r="E2" s="7" t="s">
        <v>10</v>
      </c>
      <c r="F2" s="1"/>
      <c r="G2" s="1"/>
      <c r="H2" s="1"/>
      <c r="I2" s="1"/>
      <c r="J2" s="1"/>
    </row>
    <row r="3" spans="1:10" ht="12.75" customHeight="1" x14ac:dyDescent="0.3">
      <c r="A3" s="6"/>
      <c r="B3" s="8" t="s">
        <v>11</v>
      </c>
      <c r="C3" s="8" t="s">
        <v>12</v>
      </c>
      <c r="D3" s="8" t="s">
        <v>13</v>
      </c>
      <c r="E3" s="8" t="s">
        <v>14</v>
      </c>
    </row>
    <row r="4" spans="1:10" ht="12.75" customHeight="1" x14ac:dyDescent="0.3">
      <c r="A4" s="6" t="s">
        <v>0</v>
      </c>
      <c r="B4" s="9">
        <v>1109227</v>
      </c>
      <c r="C4" s="9">
        <v>640984</v>
      </c>
      <c r="D4" s="9">
        <v>1809446</v>
      </c>
      <c r="E4" s="9">
        <v>1276720</v>
      </c>
      <c r="H4" s="4"/>
      <c r="I4" s="4"/>
      <c r="J4" s="4"/>
    </row>
    <row r="5" spans="1:10" ht="12.75" customHeight="1" x14ac:dyDescent="0.3">
      <c r="A5" s="6" t="s">
        <v>1</v>
      </c>
      <c r="B5" s="10">
        <v>222</v>
      </c>
      <c r="C5" s="10">
        <v>171</v>
      </c>
      <c r="D5" s="10">
        <v>374</v>
      </c>
      <c r="E5" s="10">
        <v>251</v>
      </c>
      <c r="H5" s="4"/>
      <c r="I5" s="4"/>
      <c r="J5" s="4"/>
    </row>
    <row r="6" spans="1:10" ht="12.75" customHeight="1" x14ac:dyDescent="0.3">
      <c r="A6" s="6" t="s">
        <v>2</v>
      </c>
      <c r="B6" s="11">
        <v>-95</v>
      </c>
      <c r="C6" s="11">
        <v>-79</v>
      </c>
      <c r="D6" s="11">
        <v>-260</v>
      </c>
      <c r="E6" s="11">
        <v>-189</v>
      </c>
      <c r="H6" s="4"/>
      <c r="I6" s="4"/>
      <c r="J6" s="4"/>
    </row>
    <row r="7" spans="1:10" ht="12.75" customHeight="1" x14ac:dyDescent="0.3">
      <c r="A7" s="6"/>
      <c r="B7" s="10"/>
      <c r="C7" s="10"/>
      <c r="D7" s="10"/>
      <c r="E7" s="10"/>
      <c r="H7" s="4"/>
      <c r="I7" s="4"/>
      <c r="J7" s="4"/>
    </row>
    <row r="8" spans="1:10" ht="12.75" customHeight="1" thickBot="1" x14ac:dyDescent="0.35">
      <c r="A8" s="6" t="s">
        <v>8</v>
      </c>
      <c r="B8" s="12">
        <f>SUM(B5:B6)</f>
        <v>127</v>
      </c>
      <c r="C8" s="12">
        <f>SUM(C5:C6)</f>
        <v>92</v>
      </c>
      <c r="D8" s="12">
        <f>SUM(D5:D6)</f>
        <v>114</v>
      </c>
      <c r="E8" s="12">
        <f>SUM(E5:E6)</f>
        <v>62</v>
      </c>
    </row>
    <row r="9" spans="1:10" ht="12.75" customHeight="1" thickTop="1" x14ac:dyDescent="0.3">
      <c r="A9" s="6"/>
      <c r="B9" s="10"/>
      <c r="C9" s="10"/>
      <c r="D9" s="10"/>
      <c r="E9" s="10"/>
    </row>
    <row r="10" spans="1:10" ht="12.75" customHeight="1" x14ac:dyDescent="0.3">
      <c r="A10" s="6" t="s">
        <v>3</v>
      </c>
      <c r="B10" s="10">
        <v>118783</v>
      </c>
      <c r="C10" s="10">
        <v>4669</v>
      </c>
      <c r="D10" s="10">
        <v>212232</v>
      </c>
      <c r="E10" s="10">
        <v>185775</v>
      </c>
    </row>
    <row r="11" spans="1:10" ht="12.75" customHeight="1" x14ac:dyDescent="0.3">
      <c r="A11" s="6" t="s">
        <v>4</v>
      </c>
      <c r="B11" s="11">
        <v>0</v>
      </c>
      <c r="C11" s="11">
        <v>0</v>
      </c>
      <c r="D11" s="11">
        <v>0</v>
      </c>
      <c r="E11" s="11">
        <v>0</v>
      </c>
    </row>
    <row r="12" spans="1:10" ht="12.75" customHeight="1" thickBot="1" x14ac:dyDescent="0.35">
      <c r="A12" s="6" t="s">
        <v>5</v>
      </c>
      <c r="B12" s="13">
        <f>SUM(B10:B11)</f>
        <v>118783</v>
      </c>
      <c r="C12" s="13">
        <f>SUM(C10:C11)</f>
        <v>4669</v>
      </c>
      <c r="D12" s="13">
        <f>SUM(D10:D11)</f>
        <v>212232</v>
      </c>
      <c r="E12" s="13">
        <f>SUM(E10:E11)</f>
        <v>185775</v>
      </c>
    </row>
    <row r="13" spans="1:10" ht="12.75" customHeight="1" thickTop="1" x14ac:dyDescent="0.3">
      <c r="A13" s="6"/>
      <c r="B13" s="10"/>
      <c r="C13" s="10"/>
      <c r="D13" s="10"/>
      <c r="E13" s="10"/>
    </row>
    <row r="14" spans="1:10" ht="12.75" customHeight="1" x14ac:dyDescent="0.3">
      <c r="A14" s="6" t="s">
        <v>6</v>
      </c>
      <c r="B14" s="14">
        <v>-125</v>
      </c>
      <c r="C14" s="14">
        <v>-201065</v>
      </c>
      <c r="D14" s="14">
        <v>-362</v>
      </c>
      <c r="E14" s="14">
        <v>-251</v>
      </c>
    </row>
    <row r="15" spans="1:10" ht="12.75" customHeight="1" x14ac:dyDescent="0.3">
      <c r="A15" s="6"/>
      <c r="B15" s="15"/>
      <c r="C15" s="15"/>
      <c r="D15" s="15"/>
      <c r="E15" s="15"/>
    </row>
    <row r="16" spans="1:10" ht="12.75" customHeight="1" thickBot="1" x14ac:dyDescent="0.35">
      <c r="A16" s="6" t="s">
        <v>48</v>
      </c>
      <c r="B16" s="16">
        <f>+B14+B12+B8</f>
        <v>118785</v>
      </c>
      <c r="C16" s="16">
        <f>+C14+C12+C8</f>
        <v>-196304</v>
      </c>
      <c r="D16" s="16">
        <f>+D14+D12+D8</f>
        <v>211984</v>
      </c>
      <c r="E16" s="16">
        <f>+E14+E12+E8</f>
        <v>185586</v>
      </c>
    </row>
    <row r="17" spans="1:10" ht="12.75" customHeight="1" thickTop="1" x14ac:dyDescent="0.3">
      <c r="A17" s="6"/>
      <c r="B17" s="17"/>
      <c r="C17" s="17"/>
      <c r="D17" s="17"/>
    </row>
    <row r="18" spans="1:10" s="2" customFormat="1" ht="12.75" customHeight="1" x14ac:dyDescent="0.3">
      <c r="A18" s="6"/>
      <c r="B18" s="7" t="s">
        <v>9</v>
      </c>
      <c r="C18" s="7" t="s">
        <v>9</v>
      </c>
      <c r="D18" s="7" t="s">
        <v>9</v>
      </c>
      <c r="E18" s="7" t="s">
        <v>9</v>
      </c>
      <c r="F18" s="1"/>
      <c r="G18" s="1"/>
      <c r="H18" s="1"/>
      <c r="I18" s="1"/>
      <c r="J18" s="1"/>
    </row>
    <row r="19" spans="1:10" s="2" customFormat="1" ht="12.75" customHeight="1" x14ac:dyDescent="0.3">
      <c r="A19" s="6"/>
      <c r="B19" s="7" t="s">
        <v>10</v>
      </c>
      <c r="C19" s="7" t="s">
        <v>16</v>
      </c>
      <c r="D19" s="7" t="s">
        <v>16</v>
      </c>
      <c r="E19" s="7" t="s">
        <v>16</v>
      </c>
      <c r="F19" s="1"/>
      <c r="G19" s="1"/>
      <c r="H19" s="1"/>
      <c r="I19" s="1"/>
      <c r="J19" s="1"/>
    </row>
    <row r="20" spans="1:10" ht="12.75" customHeight="1" x14ac:dyDescent="0.3">
      <c r="A20" s="6"/>
      <c r="B20" s="8" t="s">
        <v>15</v>
      </c>
      <c r="C20" s="8" t="s">
        <v>17</v>
      </c>
      <c r="D20" s="8" t="s">
        <v>18</v>
      </c>
      <c r="E20" s="8" t="s">
        <v>19</v>
      </c>
    </row>
    <row r="21" spans="1:10" ht="12.75" customHeight="1" x14ac:dyDescent="0.3">
      <c r="A21" s="6" t="s">
        <v>0</v>
      </c>
      <c r="B21" s="9">
        <v>1584318</v>
      </c>
      <c r="C21" s="9">
        <v>0</v>
      </c>
      <c r="D21" s="9">
        <v>3543467</v>
      </c>
      <c r="E21" s="9">
        <v>4517303</v>
      </c>
      <c r="H21" s="4"/>
      <c r="I21" s="4"/>
      <c r="J21" s="4"/>
    </row>
    <row r="22" spans="1:10" ht="12.75" customHeight="1" x14ac:dyDescent="0.3">
      <c r="A22" s="6" t="s">
        <v>1</v>
      </c>
      <c r="B22" s="10">
        <v>351</v>
      </c>
      <c r="C22" s="10">
        <v>189360</v>
      </c>
      <c r="D22" s="10">
        <v>342699</v>
      </c>
      <c r="E22" s="10">
        <v>5816767</v>
      </c>
      <c r="H22" s="4"/>
      <c r="I22" s="4"/>
      <c r="J22" s="4"/>
    </row>
    <row r="23" spans="1:10" ht="12.75" customHeight="1" x14ac:dyDescent="0.3">
      <c r="A23" s="6" t="s">
        <v>2</v>
      </c>
      <c r="B23" s="11">
        <v>-99</v>
      </c>
      <c r="C23" s="11">
        <v>0</v>
      </c>
      <c r="D23" s="11">
        <v>-551444</v>
      </c>
      <c r="E23" s="11">
        <v>0</v>
      </c>
      <c r="H23" s="4"/>
      <c r="I23" s="4"/>
      <c r="J23" s="4"/>
    </row>
    <row r="24" spans="1:10" ht="12.75" customHeight="1" x14ac:dyDescent="0.3">
      <c r="A24" s="6"/>
      <c r="B24" s="10"/>
      <c r="C24" s="10"/>
      <c r="D24" s="10"/>
      <c r="E24" s="10"/>
      <c r="H24" s="4"/>
      <c r="I24" s="4"/>
      <c r="J24" s="4"/>
    </row>
    <row r="25" spans="1:10" ht="12.75" customHeight="1" thickBot="1" x14ac:dyDescent="0.35">
      <c r="A25" s="6" t="s">
        <v>49</v>
      </c>
      <c r="B25" s="12">
        <f>SUM(B22:B23)</f>
        <v>252</v>
      </c>
      <c r="C25" s="12">
        <f>SUM(C22:C23)</f>
        <v>189360</v>
      </c>
      <c r="D25" s="12">
        <f>SUM(D22:D23)</f>
        <v>-208745</v>
      </c>
      <c r="E25" s="12">
        <f>SUM(E22:E23)</f>
        <v>5816767</v>
      </c>
    </row>
    <row r="26" spans="1:10" ht="12.75" customHeight="1" thickTop="1" x14ac:dyDescent="0.3">
      <c r="A26" s="6"/>
      <c r="B26" s="10"/>
      <c r="C26" s="10"/>
      <c r="D26" s="10"/>
      <c r="E26" s="10"/>
    </row>
    <row r="27" spans="1:10" ht="12.75" customHeight="1" x14ac:dyDescent="0.3">
      <c r="A27" s="6" t="s">
        <v>3</v>
      </c>
      <c r="B27" s="10">
        <v>232389</v>
      </c>
      <c r="C27" s="10">
        <v>24818</v>
      </c>
      <c r="D27" s="10">
        <v>0</v>
      </c>
      <c r="E27" s="10">
        <v>8415359</v>
      </c>
    </row>
    <row r="28" spans="1:10" ht="12.75" customHeight="1" x14ac:dyDescent="0.3">
      <c r="A28" s="6" t="s">
        <v>4</v>
      </c>
      <c r="B28" s="11">
        <v>0</v>
      </c>
      <c r="C28" s="11">
        <v>0</v>
      </c>
      <c r="D28" s="11">
        <v>0</v>
      </c>
      <c r="E28" s="11">
        <v>0</v>
      </c>
    </row>
    <row r="29" spans="1:10" ht="12.75" customHeight="1" thickBot="1" x14ac:dyDescent="0.35">
      <c r="A29" s="6" t="s">
        <v>5</v>
      </c>
      <c r="B29" s="13">
        <f>SUM(B27:B28)</f>
        <v>232389</v>
      </c>
      <c r="C29" s="13">
        <f>SUM(C27:C28)</f>
        <v>24818</v>
      </c>
      <c r="D29" s="13">
        <f>SUM(D27:D28)</f>
        <v>0</v>
      </c>
      <c r="E29" s="13">
        <f>SUM(E27:E28)</f>
        <v>8415359</v>
      </c>
    </row>
    <row r="30" spans="1:10" ht="12.75" customHeight="1" thickTop="1" x14ac:dyDescent="0.3">
      <c r="A30" s="6"/>
      <c r="B30" s="10"/>
      <c r="C30" s="10"/>
      <c r="D30" s="10"/>
      <c r="E30" s="10"/>
    </row>
    <row r="31" spans="1:10" ht="12.75" customHeight="1" x14ac:dyDescent="0.3">
      <c r="A31" s="6" t="s">
        <v>6</v>
      </c>
      <c r="B31" s="14">
        <v>-139</v>
      </c>
      <c r="C31" s="14">
        <v>0</v>
      </c>
      <c r="D31" s="14">
        <v>-2239498</v>
      </c>
      <c r="E31" s="14">
        <v>-1908355</v>
      </c>
    </row>
    <row r="32" spans="1:10" ht="12.75" customHeight="1" x14ac:dyDescent="0.3">
      <c r="A32" s="6"/>
      <c r="B32" s="15"/>
      <c r="C32" s="15"/>
      <c r="D32" s="15"/>
      <c r="E32" s="15"/>
    </row>
    <row r="33" spans="1:10" ht="12.75" customHeight="1" thickBot="1" x14ac:dyDescent="0.35">
      <c r="A33" s="6" t="s">
        <v>48</v>
      </c>
      <c r="B33" s="16">
        <f>+B31+B29+B25</f>
        <v>232502</v>
      </c>
      <c r="C33" s="16">
        <f>+C31+C29+C25</f>
        <v>214178</v>
      </c>
      <c r="D33" s="16">
        <f>+D31+D29+D25</f>
        <v>-2448243</v>
      </c>
      <c r="E33" s="16">
        <f>+E31+E29+E25</f>
        <v>12323771</v>
      </c>
    </row>
    <row r="34" spans="1:10" ht="12.75" customHeight="1" thickTop="1" x14ac:dyDescent="0.3">
      <c r="A34" s="6"/>
      <c r="B34" s="17"/>
      <c r="C34" s="17"/>
      <c r="D34" s="17"/>
      <c r="E34" s="17"/>
    </row>
    <row r="35" spans="1:10" s="2" customFormat="1" ht="12.75" customHeight="1" x14ac:dyDescent="0.3">
      <c r="A35" s="6"/>
      <c r="B35" s="7" t="s">
        <v>9</v>
      </c>
      <c r="C35" s="7" t="s">
        <v>9</v>
      </c>
      <c r="D35" s="7" t="s">
        <v>9</v>
      </c>
      <c r="E35" s="7" t="s">
        <v>9</v>
      </c>
      <c r="F35" s="1"/>
      <c r="G35" s="1"/>
      <c r="H35" s="1"/>
      <c r="I35" s="1"/>
      <c r="J35" s="1"/>
    </row>
    <row r="36" spans="1:10" s="2" customFormat="1" ht="12.75" customHeight="1" x14ac:dyDescent="0.3">
      <c r="A36" s="6"/>
      <c r="B36" s="7" t="s">
        <v>16</v>
      </c>
      <c r="C36" s="7" t="s">
        <v>16</v>
      </c>
      <c r="D36" s="7" t="s">
        <v>16</v>
      </c>
      <c r="E36" s="7" t="s">
        <v>16</v>
      </c>
      <c r="F36" s="1"/>
      <c r="G36" s="1"/>
      <c r="H36" s="1"/>
      <c r="I36" s="1"/>
      <c r="J36" s="1"/>
    </row>
    <row r="37" spans="1:10" ht="12.75" customHeight="1" x14ac:dyDescent="0.3">
      <c r="A37" s="6"/>
      <c r="B37" s="8" t="s">
        <v>20</v>
      </c>
      <c r="C37" s="8" t="s">
        <v>21</v>
      </c>
      <c r="D37" s="8" t="s">
        <v>22</v>
      </c>
      <c r="E37" s="8" t="s">
        <v>23</v>
      </c>
    </row>
    <row r="38" spans="1:10" ht="12.75" customHeight="1" x14ac:dyDescent="0.3">
      <c r="A38" s="6" t="s">
        <v>0</v>
      </c>
      <c r="B38" s="9">
        <v>1852045</v>
      </c>
      <c r="C38" s="9">
        <v>1453727</v>
      </c>
      <c r="D38" s="9">
        <v>2891297</v>
      </c>
      <c r="E38" s="9">
        <v>400539</v>
      </c>
      <c r="H38" s="4"/>
      <c r="I38" s="4"/>
      <c r="J38" s="4"/>
    </row>
    <row r="39" spans="1:10" ht="12.75" customHeight="1" x14ac:dyDescent="0.3">
      <c r="A39" s="6" t="s">
        <v>1</v>
      </c>
      <c r="B39" s="10">
        <v>2301107</v>
      </c>
      <c r="C39" s="10">
        <v>2674607</v>
      </c>
      <c r="D39" s="10">
        <v>3605386</v>
      </c>
      <c r="E39" s="10">
        <v>0</v>
      </c>
      <c r="H39" s="4"/>
      <c r="I39" s="4"/>
      <c r="J39" s="4"/>
    </row>
    <row r="40" spans="1:10" ht="12.75" customHeight="1" x14ac:dyDescent="0.3">
      <c r="A40" s="6" t="s">
        <v>2</v>
      </c>
      <c r="B40" s="11">
        <v>-499256</v>
      </c>
      <c r="C40" s="11">
        <v>-241110</v>
      </c>
      <c r="D40" s="11">
        <v>-164057</v>
      </c>
      <c r="E40" s="11">
        <v>-293238</v>
      </c>
      <c r="H40" s="4"/>
      <c r="I40" s="4"/>
      <c r="J40" s="4"/>
    </row>
    <row r="41" spans="1:10" ht="12.75" customHeight="1" x14ac:dyDescent="0.3">
      <c r="A41" s="6"/>
      <c r="B41" s="10"/>
      <c r="C41" s="10"/>
      <c r="D41" s="10"/>
      <c r="E41" s="10"/>
      <c r="H41" s="4"/>
      <c r="I41" s="4"/>
      <c r="J41" s="4"/>
    </row>
    <row r="42" spans="1:10" ht="12.75" customHeight="1" thickBot="1" x14ac:dyDescent="0.35">
      <c r="A42" s="6" t="s">
        <v>49</v>
      </c>
      <c r="B42" s="12">
        <f>SUM(B39:B40)</f>
        <v>1801851</v>
      </c>
      <c r="C42" s="12">
        <f>SUM(C39:C40)</f>
        <v>2433497</v>
      </c>
      <c r="D42" s="12">
        <f>SUM(D39:D40)</f>
        <v>3441329</v>
      </c>
      <c r="E42" s="12">
        <f>SUM(E39:E40)</f>
        <v>-293238</v>
      </c>
    </row>
    <row r="43" spans="1:10" ht="12.75" customHeight="1" thickTop="1" x14ac:dyDescent="0.3">
      <c r="A43" s="6"/>
      <c r="B43" s="10"/>
      <c r="C43" s="10"/>
      <c r="D43" s="10"/>
      <c r="E43" s="10"/>
    </row>
    <row r="44" spans="1:10" ht="12.75" customHeight="1" x14ac:dyDescent="0.3">
      <c r="A44" s="6" t="s">
        <v>3</v>
      </c>
      <c r="B44" s="10">
        <v>512982</v>
      </c>
      <c r="C44" s="10">
        <v>3961298</v>
      </c>
      <c r="D44" s="10">
        <v>834501</v>
      </c>
      <c r="E44" s="10">
        <v>0</v>
      </c>
    </row>
    <row r="45" spans="1:10" ht="12.75" customHeight="1" x14ac:dyDescent="0.3">
      <c r="A45" s="6" t="s">
        <v>4</v>
      </c>
      <c r="B45" s="11">
        <v>0</v>
      </c>
      <c r="C45" s="11">
        <v>0</v>
      </c>
      <c r="D45" s="11">
        <v>0</v>
      </c>
      <c r="E45" s="11">
        <v>0</v>
      </c>
    </row>
    <row r="46" spans="1:10" ht="12.75" customHeight="1" thickBot="1" x14ac:dyDescent="0.35">
      <c r="A46" s="6" t="s">
        <v>5</v>
      </c>
      <c r="B46" s="13">
        <f>SUM(B44:B45)</f>
        <v>512982</v>
      </c>
      <c r="C46" s="13">
        <f>SUM(C44:C45)</f>
        <v>3961298</v>
      </c>
      <c r="D46" s="13">
        <f>SUM(D44:D45)</f>
        <v>834501</v>
      </c>
      <c r="E46" s="13">
        <f>SUM(E44:E45)</f>
        <v>0</v>
      </c>
    </row>
    <row r="47" spans="1:10" ht="12.75" customHeight="1" thickTop="1" x14ac:dyDescent="0.3">
      <c r="A47" s="6"/>
      <c r="B47" s="10"/>
      <c r="C47" s="10"/>
      <c r="D47" s="10"/>
      <c r="E47" s="10"/>
    </row>
    <row r="48" spans="1:10" ht="12.75" customHeight="1" x14ac:dyDescent="0.3">
      <c r="A48" s="6" t="s">
        <v>6</v>
      </c>
      <c r="B48" s="14">
        <v>0</v>
      </c>
      <c r="C48" s="14">
        <v>0</v>
      </c>
      <c r="D48" s="14">
        <v>0</v>
      </c>
      <c r="E48" s="14">
        <v>-230512</v>
      </c>
    </row>
    <row r="49" spans="1:5" ht="12.75" customHeight="1" x14ac:dyDescent="0.3">
      <c r="A49" s="6"/>
      <c r="B49" s="15"/>
      <c r="C49" s="15"/>
      <c r="D49" s="15"/>
      <c r="E49" s="15"/>
    </row>
    <row r="50" spans="1:5" ht="12.75" customHeight="1" thickBot="1" x14ac:dyDescent="0.35">
      <c r="A50" s="6" t="s">
        <v>48</v>
      </c>
      <c r="B50" s="16">
        <f>+B48+B46+B42</f>
        <v>2314833</v>
      </c>
      <c r="C50" s="16">
        <f>+C48+C46+C42</f>
        <v>6394795</v>
      </c>
      <c r="D50" s="16">
        <f>+D48+D46+D42</f>
        <v>4275830</v>
      </c>
      <c r="E50" s="16">
        <f>+E48+E46+E42</f>
        <v>-523750</v>
      </c>
    </row>
    <row r="51" spans="1:5" ht="12.75" customHeight="1" thickTop="1" x14ac:dyDescent="0.3">
      <c r="A51" s="6"/>
      <c r="B51" s="17"/>
      <c r="C51" s="17"/>
      <c r="D51" s="17"/>
    </row>
    <row r="52" spans="1:5" ht="12.75" customHeight="1" x14ac:dyDescent="0.3">
      <c r="A52" s="6"/>
      <c r="B52" s="7" t="s">
        <v>9</v>
      </c>
      <c r="C52" s="7" t="s">
        <v>9</v>
      </c>
      <c r="D52" s="7" t="s">
        <v>9</v>
      </c>
      <c r="E52" s="7" t="s">
        <v>9</v>
      </c>
    </row>
    <row r="53" spans="1:5" s="5" customFormat="1" ht="12.75" customHeight="1" x14ac:dyDescent="0.3">
      <c r="A53" s="6"/>
      <c r="B53" s="7" t="s">
        <v>16</v>
      </c>
      <c r="C53" s="7" t="s">
        <v>16</v>
      </c>
      <c r="D53" s="7" t="s">
        <v>16</v>
      </c>
      <c r="E53" s="7" t="s">
        <v>16</v>
      </c>
    </row>
    <row r="54" spans="1:5" ht="12.75" customHeight="1" x14ac:dyDescent="0.3">
      <c r="A54" s="6"/>
      <c r="B54" s="8" t="s">
        <v>24</v>
      </c>
      <c r="C54" s="8" t="s">
        <v>25</v>
      </c>
      <c r="D54" s="8" t="s">
        <v>26</v>
      </c>
      <c r="E54" s="8" t="s">
        <v>27</v>
      </c>
    </row>
    <row r="55" spans="1:5" ht="12.75" customHeight="1" x14ac:dyDescent="0.3">
      <c r="A55" s="6" t="s">
        <v>0</v>
      </c>
      <c r="B55" s="9">
        <v>1212413</v>
      </c>
      <c r="C55" s="9">
        <v>49301</v>
      </c>
      <c r="D55" s="9">
        <v>14292</v>
      </c>
      <c r="E55" s="9">
        <v>1427104</v>
      </c>
    </row>
    <row r="56" spans="1:5" ht="12.75" customHeight="1" x14ac:dyDescent="0.3">
      <c r="A56" s="6" t="s">
        <v>1</v>
      </c>
      <c r="B56" s="10">
        <v>1266422</v>
      </c>
      <c r="C56" s="10">
        <v>0</v>
      </c>
      <c r="D56" s="10">
        <v>26950</v>
      </c>
      <c r="E56" s="10">
        <v>62871</v>
      </c>
    </row>
    <row r="57" spans="1:5" ht="12.75" customHeight="1" x14ac:dyDescent="0.3">
      <c r="A57" s="6" t="s">
        <v>2</v>
      </c>
      <c r="B57" s="11">
        <v>-147430</v>
      </c>
      <c r="C57" s="11">
        <v>-52412</v>
      </c>
      <c r="D57" s="11">
        <v>0</v>
      </c>
      <c r="E57" s="11">
        <v>-616257</v>
      </c>
    </row>
    <row r="58" spans="1:5" ht="12.75" customHeight="1" x14ac:dyDescent="0.3">
      <c r="A58" s="6"/>
      <c r="B58" s="10"/>
      <c r="C58" s="10"/>
      <c r="D58" s="10"/>
      <c r="E58" s="10"/>
    </row>
    <row r="59" spans="1:5" ht="12.75" customHeight="1" thickBot="1" x14ac:dyDescent="0.35">
      <c r="A59" s="6" t="s">
        <v>49</v>
      </c>
      <c r="B59" s="12">
        <f>SUM(B56:B57)</f>
        <v>1118992</v>
      </c>
      <c r="C59" s="12">
        <f>SUM(C56:C57)</f>
        <v>-52412</v>
      </c>
      <c r="D59" s="12">
        <f>SUM(D56:D57)</f>
        <v>26950</v>
      </c>
      <c r="E59" s="12">
        <f>SUM(E56:E57)</f>
        <v>-553386</v>
      </c>
    </row>
    <row r="60" spans="1:5" ht="12.75" customHeight="1" thickTop="1" x14ac:dyDescent="0.3">
      <c r="A60" s="6"/>
      <c r="B60" s="10"/>
      <c r="C60" s="10"/>
      <c r="D60" s="10"/>
      <c r="E60" s="10"/>
    </row>
    <row r="61" spans="1:5" ht="12.75" customHeight="1" x14ac:dyDescent="0.3">
      <c r="A61" s="6" t="s">
        <v>3</v>
      </c>
      <c r="B61" s="10">
        <v>1007741</v>
      </c>
      <c r="C61" s="10">
        <v>0</v>
      </c>
      <c r="D61" s="10">
        <v>0</v>
      </c>
      <c r="E61" s="10">
        <v>0</v>
      </c>
    </row>
    <row r="62" spans="1:5" ht="12.75" customHeight="1" x14ac:dyDescent="0.3">
      <c r="A62" s="6" t="s">
        <v>4</v>
      </c>
      <c r="B62" s="11">
        <v>0</v>
      </c>
      <c r="C62" s="11">
        <v>0</v>
      </c>
      <c r="D62" s="11">
        <v>0</v>
      </c>
      <c r="E62" s="11">
        <v>0</v>
      </c>
    </row>
    <row r="63" spans="1:5" ht="12.75" customHeight="1" thickBot="1" x14ac:dyDescent="0.35">
      <c r="A63" s="6" t="s">
        <v>5</v>
      </c>
      <c r="B63" s="13">
        <f>SUM(B61:B62)</f>
        <v>1007741</v>
      </c>
      <c r="C63" s="13">
        <f>SUM(C61:C62)</f>
        <v>0</v>
      </c>
      <c r="D63" s="13">
        <f>SUM(D61:D62)</f>
        <v>0</v>
      </c>
      <c r="E63" s="13">
        <f>SUM(E61:E62)</f>
        <v>0</v>
      </c>
    </row>
    <row r="64" spans="1:5" ht="12.75" customHeight="1" thickTop="1" x14ac:dyDescent="0.3">
      <c r="A64" s="6"/>
      <c r="B64" s="10"/>
      <c r="C64" s="10"/>
      <c r="D64" s="10"/>
      <c r="E64" s="10"/>
    </row>
    <row r="65" spans="1:5" ht="12.75" customHeight="1" x14ac:dyDescent="0.3">
      <c r="A65" s="6" t="s">
        <v>6</v>
      </c>
      <c r="B65" s="14">
        <v>0</v>
      </c>
      <c r="C65" s="14">
        <v>-827</v>
      </c>
      <c r="D65" s="14">
        <v>-89203</v>
      </c>
      <c r="E65" s="14">
        <v>-5146302</v>
      </c>
    </row>
    <row r="66" spans="1:5" ht="12.75" customHeight="1" x14ac:dyDescent="0.3">
      <c r="A66" s="6"/>
      <c r="B66" s="15"/>
      <c r="C66" s="15"/>
      <c r="D66" s="15"/>
      <c r="E66" s="15"/>
    </row>
    <row r="67" spans="1:5" ht="12.75" customHeight="1" thickBot="1" x14ac:dyDescent="0.35">
      <c r="A67" s="6" t="s">
        <v>48</v>
      </c>
      <c r="B67" s="16">
        <f>+B65+B63+B59</f>
        <v>2126733</v>
      </c>
      <c r="C67" s="16">
        <f>+C65+C63+C59</f>
        <v>-53239</v>
      </c>
      <c r="D67" s="16">
        <f>+D65+D63+D59</f>
        <v>-62253</v>
      </c>
      <c r="E67" s="16">
        <f>+E65+E63+E59</f>
        <v>-5699688</v>
      </c>
    </row>
    <row r="68" spans="1:5" ht="12.75" customHeight="1" thickTop="1" x14ac:dyDescent="0.3">
      <c r="A68" s="6"/>
      <c r="B68" s="10"/>
      <c r="C68" s="10"/>
      <c r="D68" s="10"/>
    </row>
    <row r="69" spans="1:5" ht="12.75" customHeight="1" x14ac:dyDescent="0.3">
      <c r="A69" s="6"/>
      <c r="B69" s="7" t="s">
        <v>9</v>
      </c>
      <c r="C69" s="7" t="s">
        <v>9</v>
      </c>
      <c r="D69" s="7" t="s">
        <v>9</v>
      </c>
      <c r="E69" s="7" t="s">
        <v>9</v>
      </c>
    </row>
    <row r="70" spans="1:5" ht="13" x14ac:dyDescent="0.3">
      <c r="A70" s="6"/>
      <c r="B70" s="7" t="s">
        <v>16</v>
      </c>
      <c r="C70" s="7" t="s">
        <v>16</v>
      </c>
      <c r="D70" s="7" t="s">
        <v>16</v>
      </c>
      <c r="E70" s="7" t="s">
        <v>16</v>
      </c>
    </row>
    <row r="71" spans="1:5" ht="13" x14ac:dyDescent="0.3">
      <c r="A71" s="6"/>
      <c r="B71" s="8" t="s">
        <v>28</v>
      </c>
      <c r="C71" s="8" t="s">
        <v>29</v>
      </c>
      <c r="D71" s="8" t="s">
        <v>30</v>
      </c>
      <c r="E71" s="8" t="s">
        <v>31</v>
      </c>
    </row>
    <row r="72" spans="1:5" ht="13" x14ac:dyDescent="0.3">
      <c r="A72" s="6" t="s">
        <v>0</v>
      </c>
      <c r="B72" s="9">
        <v>798379</v>
      </c>
      <c r="C72" s="9">
        <v>1085694</v>
      </c>
      <c r="D72" s="9">
        <v>3061107</v>
      </c>
      <c r="E72" s="9">
        <v>3273245</v>
      </c>
    </row>
    <row r="73" spans="1:5" ht="13" x14ac:dyDescent="0.3">
      <c r="A73" s="6" t="s">
        <v>1</v>
      </c>
      <c r="B73" s="10">
        <v>1302354</v>
      </c>
      <c r="C73" s="10">
        <v>0</v>
      </c>
      <c r="D73" s="10">
        <v>360038</v>
      </c>
      <c r="E73" s="10">
        <v>3350419</v>
      </c>
    </row>
    <row r="74" spans="1:5" ht="13" x14ac:dyDescent="0.3">
      <c r="A74" s="6" t="s">
        <v>2</v>
      </c>
      <c r="B74" s="11">
        <v>-16952</v>
      </c>
      <c r="C74" s="11">
        <v>-95171</v>
      </c>
      <c r="D74" s="11">
        <v>-1853428</v>
      </c>
      <c r="E74" s="11">
        <v>0</v>
      </c>
    </row>
    <row r="75" spans="1:5" ht="13" x14ac:dyDescent="0.3">
      <c r="A75" s="6"/>
      <c r="B75" s="10"/>
      <c r="C75" s="10"/>
      <c r="D75" s="10"/>
      <c r="E75" s="10"/>
    </row>
    <row r="76" spans="1:5" ht="13.5" thickBot="1" x14ac:dyDescent="0.35">
      <c r="A76" s="6" t="s">
        <v>49</v>
      </c>
      <c r="B76" s="12">
        <f>SUM(B73:B74)</f>
        <v>1285402</v>
      </c>
      <c r="C76" s="12">
        <f>SUM(C73:C74)</f>
        <v>-95171</v>
      </c>
      <c r="D76" s="12">
        <f>SUM(D73:D74)</f>
        <v>-1493390</v>
      </c>
      <c r="E76" s="12">
        <f>SUM(E73:E74)</f>
        <v>3350419</v>
      </c>
    </row>
    <row r="77" spans="1:5" ht="13.5" thickTop="1" x14ac:dyDescent="0.3">
      <c r="A77" s="6"/>
      <c r="B77" s="10"/>
      <c r="C77" s="10"/>
      <c r="D77" s="10"/>
      <c r="E77" s="10"/>
    </row>
    <row r="78" spans="1:5" ht="13" x14ac:dyDescent="0.3">
      <c r="A78" s="6" t="s">
        <v>3</v>
      </c>
      <c r="B78" s="10">
        <v>0</v>
      </c>
      <c r="C78" s="10">
        <v>0</v>
      </c>
      <c r="D78" s="10">
        <v>0</v>
      </c>
      <c r="E78" s="10">
        <v>0</v>
      </c>
    </row>
    <row r="79" spans="1:5" ht="13" x14ac:dyDescent="0.3">
      <c r="A79" s="6" t="s">
        <v>4</v>
      </c>
      <c r="B79" s="11">
        <v>0</v>
      </c>
      <c r="C79" s="11">
        <v>0</v>
      </c>
      <c r="D79" s="11">
        <v>0</v>
      </c>
      <c r="E79" s="11">
        <v>0</v>
      </c>
    </row>
    <row r="80" spans="1:5" ht="13.5" thickBot="1" x14ac:dyDescent="0.35">
      <c r="A80" s="6" t="s">
        <v>5</v>
      </c>
      <c r="B80" s="13">
        <f>SUM(B78:B79)</f>
        <v>0</v>
      </c>
      <c r="C80" s="13">
        <f>SUM(C78:C79)</f>
        <v>0</v>
      </c>
      <c r="D80" s="13">
        <f>SUM(D78:D79)</f>
        <v>0</v>
      </c>
      <c r="E80" s="13">
        <f>SUM(E78:E79)</f>
        <v>0</v>
      </c>
    </row>
    <row r="81" spans="1:5" ht="13.5" thickTop="1" x14ac:dyDescent="0.3">
      <c r="A81" s="6"/>
      <c r="B81" s="10"/>
      <c r="C81" s="10"/>
      <c r="D81" s="10"/>
      <c r="E81" s="10"/>
    </row>
    <row r="82" spans="1:5" ht="13" x14ac:dyDescent="0.3">
      <c r="A82" s="6" t="s">
        <v>6</v>
      </c>
      <c r="B82" s="14">
        <v>-720817</v>
      </c>
      <c r="C82" s="14">
        <v>-216933</v>
      </c>
      <c r="D82" s="14">
        <v>-12987691</v>
      </c>
      <c r="E82" s="14">
        <v>-1737833</v>
      </c>
    </row>
    <row r="83" spans="1:5" ht="13" x14ac:dyDescent="0.3">
      <c r="A83" s="6"/>
      <c r="B83" s="15"/>
      <c r="C83" s="15"/>
      <c r="D83" s="15"/>
      <c r="E83" s="15"/>
    </row>
    <row r="84" spans="1:5" ht="13.5" thickBot="1" x14ac:dyDescent="0.35">
      <c r="A84" s="6" t="s">
        <v>48</v>
      </c>
      <c r="B84" s="16">
        <f>+B82+B80+B76</f>
        <v>564585</v>
      </c>
      <c r="C84" s="16">
        <f>+C82+C80+C76</f>
        <v>-312104</v>
      </c>
      <c r="D84" s="16">
        <f>+D82+D80+D76</f>
        <v>-14481081</v>
      </c>
      <c r="E84" s="16">
        <f>+E82+E80+E76</f>
        <v>1612586</v>
      </c>
    </row>
    <row r="85" spans="1:5" ht="13.5" thickTop="1" x14ac:dyDescent="0.3">
      <c r="A85" s="6"/>
      <c r="B85" s="10"/>
      <c r="C85" s="10"/>
      <c r="D85" s="10"/>
    </row>
    <row r="86" spans="1:5" ht="13" x14ac:dyDescent="0.3">
      <c r="A86" s="6"/>
      <c r="B86" s="7" t="s">
        <v>9</v>
      </c>
      <c r="C86" s="7" t="s">
        <v>9</v>
      </c>
      <c r="D86" s="7" t="s">
        <v>9</v>
      </c>
      <c r="E86" s="7" t="s">
        <v>9</v>
      </c>
    </row>
    <row r="87" spans="1:5" ht="13" x14ac:dyDescent="0.3">
      <c r="A87" s="6"/>
      <c r="B87" s="7" t="s">
        <v>16</v>
      </c>
      <c r="C87" s="7" t="s">
        <v>16</v>
      </c>
      <c r="D87" s="7" t="s">
        <v>16</v>
      </c>
      <c r="E87" s="7" t="s">
        <v>16</v>
      </c>
    </row>
    <row r="88" spans="1:5" ht="13" x14ac:dyDescent="0.3">
      <c r="A88" s="6"/>
      <c r="B88" s="8" t="s">
        <v>32</v>
      </c>
      <c r="C88" s="8" t="s">
        <v>33</v>
      </c>
      <c r="D88" s="8" t="s">
        <v>34</v>
      </c>
      <c r="E88" s="8" t="s">
        <v>35</v>
      </c>
    </row>
    <row r="89" spans="1:5" ht="13" x14ac:dyDescent="0.3">
      <c r="A89" s="6" t="s">
        <v>0</v>
      </c>
      <c r="B89" s="9">
        <v>5166911</v>
      </c>
      <c r="C89" s="9">
        <v>28006</v>
      </c>
      <c r="D89" s="9">
        <v>0</v>
      </c>
      <c r="E89" s="9">
        <v>155961</v>
      </c>
    </row>
    <row r="90" spans="1:5" ht="13" x14ac:dyDescent="0.3">
      <c r="A90" s="6" t="s">
        <v>1</v>
      </c>
      <c r="B90" s="10">
        <v>13588918</v>
      </c>
      <c r="C90" s="10">
        <v>32600</v>
      </c>
      <c r="D90" s="10">
        <v>490921</v>
      </c>
      <c r="E90" s="10">
        <v>426292</v>
      </c>
    </row>
    <row r="91" spans="1:5" ht="13" x14ac:dyDescent="0.3">
      <c r="A91" s="6" t="s">
        <v>2</v>
      </c>
      <c r="B91" s="11">
        <v>-738612</v>
      </c>
      <c r="C91" s="11">
        <v>-17945</v>
      </c>
      <c r="D91" s="11">
        <v>0</v>
      </c>
      <c r="E91" s="11">
        <v>-295403</v>
      </c>
    </row>
    <row r="92" spans="1:5" ht="13" x14ac:dyDescent="0.3">
      <c r="A92" s="6"/>
      <c r="B92" s="10"/>
      <c r="C92" s="10"/>
      <c r="D92" s="10"/>
      <c r="E92" s="10"/>
    </row>
    <row r="93" spans="1:5" ht="13.5" thickBot="1" x14ac:dyDescent="0.35">
      <c r="A93" s="6" t="s">
        <v>8</v>
      </c>
      <c r="B93" s="12">
        <f>SUM(B90:B91)</f>
        <v>12850306</v>
      </c>
      <c r="C93" s="12">
        <f>SUM(C90:C91)</f>
        <v>14655</v>
      </c>
      <c r="D93" s="12">
        <f>SUM(D90:D91)</f>
        <v>490921</v>
      </c>
      <c r="E93" s="12">
        <f>SUM(E90:E91)</f>
        <v>130889</v>
      </c>
    </row>
    <row r="94" spans="1:5" ht="13.5" thickTop="1" x14ac:dyDescent="0.3">
      <c r="A94" s="6"/>
      <c r="B94" s="10"/>
      <c r="C94" s="10"/>
      <c r="D94" s="10"/>
      <c r="E94" s="10"/>
    </row>
    <row r="95" spans="1:5" ht="13" x14ac:dyDescent="0.3">
      <c r="A95" s="6" t="s">
        <v>3</v>
      </c>
      <c r="B95" s="10">
        <v>6538250</v>
      </c>
      <c r="C95" s="10">
        <v>0</v>
      </c>
      <c r="D95" s="10">
        <v>0</v>
      </c>
      <c r="E95" s="10">
        <v>0</v>
      </c>
    </row>
    <row r="96" spans="1:5" ht="13" x14ac:dyDescent="0.3">
      <c r="A96" s="6" t="s">
        <v>4</v>
      </c>
      <c r="B96" s="11">
        <v>0</v>
      </c>
      <c r="C96" s="11">
        <v>0</v>
      </c>
      <c r="D96" s="11">
        <v>0</v>
      </c>
      <c r="E96" s="11">
        <v>0</v>
      </c>
    </row>
    <row r="97" spans="1:5" ht="13.5" thickBot="1" x14ac:dyDescent="0.35">
      <c r="A97" s="6" t="s">
        <v>5</v>
      </c>
      <c r="B97" s="13">
        <f>SUM(B95:B96)</f>
        <v>6538250</v>
      </c>
      <c r="C97" s="13">
        <f>SUM(C95:C96)</f>
        <v>0</v>
      </c>
      <c r="D97" s="13">
        <f>SUM(D95:D96)</f>
        <v>0</v>
      </c>
      <c r="E97" s="13">
        <f>SUM(E95:E96)</f>
        <v>0</v>
      </c>
    </row>
    <row r="98" spans="1:5" ht="13.5" thickTop="1" x14ac:dyDescent="0.3">
      <c r="A98" s="6"/>
      <c r="B98" s="10"/>
      <c r="C98" s="10"/>
      <c r="D98" s="10"/>
      <c r="E98" s="10"/>
    </row>
    <row r="99" spans="1:5" ht="13" x14ac:dyDescent="0.3">
      <c r="A99" s="6" t="s">
        <v>6</v>
      </c>
      <c r="B99" s="14">
        <v>0</v>
      </c>
      <c r="C99" s="14">
        <v>-1201888</v>
      </c>
      <c r="D99" s="14">
        <v>-10005</v>
      </c>
      <c r="E99" s="14">
        <v>-413250</v>
      </c>
    </row>
    <row r="100" spans="1:5" ht="13" x14ac:dyDescent="0.3">
      <c r="A100" s="6"/>
      <c r="B100" s="15"/>
      <c r="C100" s="15"/>
      <c r="D100" s="15"/>
      <c r="E100" s="15"/>
    </row>
    <row r="101" spans="1:5" ht="13.5" thickBot="1" x14ac:dyDescent="0.35">
      <c r="A101" s="6" t="s">
        <v>48</v>
      </c>
      <c r="B101" s="16">
        <f>+B99+B97+B93</f>
        <v>19388556</v>
      </c>
      <c r="C101" s="16">
        <f>+C99+C97+C93</f>
        <v>-1187233</v>
      </c>
      <c r="D101" s="16">
        <f>+D99+D97+D93</f>
        <v>480916</v>
      </c>
      <c r="E101" s="16">
        <f>+E99+E97+E93</f>
        <v>-282361</v>
      </c>
    </row>
    <row r="102" spans="1:5" ht="13.5" thickTop="1" x14ac:dyDescent="0.3">
      <c r="A102" s="6"/>
      <c r="B102" s="10"/>
      <c r="C102" s="10"/>
      <c r="D102" s="10"/>
    </row>
    <row r="103" spans="1:5" ht="13" x14ac:dyDescent="0.3">
      <c r="A103" s="6"/>
      <c r="B103" s="7" t="s">
        <v>9</v>
      </c>
      <c r="C103" s="7" t="s">
        <v>9</v>
      </c>
      <c r="D103" s="7" t="s">
        <v>9</v>
      </c>
      <c r="E103" s="7" t="s">
        <v>9</v>
      </c>
    </row>
    <row r="104" spans="1:5" ht="13" x14ac:dyDescent="0.3">
      <c r="A104" s="6"/>
      <c r="B104" s="7" t="s">
        <v>16</v>
      </c>
      <c r="C104" s="7" t="s">
        <v>16</v>
      </c>
      <c r="D104" s="7" t="s">
        <v>16</v>
      </c>
      <c r="E104" s="7" t="s">
        <v>16</v>
      </c>
    </row>
    <row r="105" spans="1:5" ht="13" x14ac:dyDescent="0.3">
      <c r="A105" s="6"/>
      <c r="B105" s="8" t="s">
        <v>36</v>
      </c>
      <c r="C105" s="8" t="s">
        <v>37</v>
      </c>
      <c r="D105" s="8" t="s">
        <v>38</v>
      </c>
      <c r="E105" s="8" t="s">
        <v>39</v>
      </c>
    </row>
    <row r="106" spans="1:5" ht="13" x14ac:dyDescent="0.3">
      <c r="A106" s="6" t="s">
        <v>0</v>
      </c>
      <c r="B106" s="9">
        <v>12725644</v>
      </c>
      <c r="C106" s="9">
        <v>70656</v>
      </c>
      <c r="D106" s="9">
        <v>69551</v>
      </c>
      <c r="E106" s="9">
        <v>5915803</v>
      </c>
    </row>
    <row r="107" spans="1:5" ht="13" x14ac:dyDescent="0.3">
      <c r="A107" s="6" t="s">
        <v>1</v>
      </c>
      <c r="B107" s="10">
        <v>22386848</v>
      </c>
      <c r="C107" s="10">
        <v>0</v>
      </c>
      <c r="D107" s="10">
        <v>161887</v>
      </c>
      <c r="E107" s="10">
        <v>4009482</v>
      </c>
    </row>
    <row r="108" spans="1:5" ht="13" x14ac:dyDescent="0.3">
      <c r="A108" s="6" t="s">
        <v>2</v>
      </c>
      <c r="B108" s="11">
        <v>-74142</v>
      </c>
      <c r="C108" s="11">
        <v>-89882</v>
      </c>
      <c r="D108" s="11">
        <v>0</v>
      </c>
      <c r="E108" s="11">
        <v>-37894</v>
      </c>
    </row>
    <row r="109" spans="1:5" ht="13" x14ac:dyDescent="0.3">
      <c r="A109" s="6"/>
      <c r="B109" s="10"/>
      <c r="C109" s="10"/>
      <c r="D109" s="10"/>
      <c r="E109" s="10"/>
    </row>
    <row r="110" spans="1:5" ht="13.5" thickBot="1" x14ac:dyDescent="0.35">
      <c r="A110" s="6" t="s">
        <v>49</v>
      </c>
      <c r="B110" s="12">
        <f>SUM(B107:B108)</f>
        <v>22312706</v>
      </c>
      <c r="C110" s="12">
        <f>SUM(C107:C108)</f>
        <v>-89882</v>
      </c>
      <c r="D110" s="12">
        <f>SUM(D107:D108)</f>
        <v>161887</v>
      </c>
      <c r="E110" s="12">
        <f>SUM(E107:E108)</f>
        <v>3971588</v>
      </c>
    </row>
    <row r="111" spans="1:5" ht="13.5" thickTop="1" x14ac:dyDescent="0.3">
      <c r="A111" s="6"/>
      <c r="B111" s="10"/>
      <c r="C111" s="10"/>
      <c r="D111" s="10"/>
      <c r="E111" s="10"/>
    </row>
    <row r="112" spans="1:5" ht="13" x14ac:dyDescent="0.3">
      <c r="A112" s="6" t="s">
        <v>3</v>
      </c>
      <c r="B112" s="10">
        <v>22833268</v>
      </c>
      <c r="C112" s="10">
        <v>0</v>
      </c>
      <c r="D112" s="10">
        <v>0</v>
      </c>
      <c r="E112" s="10">
        <v>8668329</v>
      </c>
    </row>
    <row r="113" spans="1:5" ht="13" x14ac:dyDescent="0.3">
      <c r="A113" s="6" t="s">
        <v>4</v>
      </c>
      <c r="B113" s="11">
        <v>0</v>
      </c>
      <c r="C113" s="11">
        <v>0</v>
      </c>
      <c r="D113" s="11">
        <v>0</v>
      </c>
      <c r="E113" s="11">
        <v>0</v>
      </c>
    </row>
    <row r="114" spans="1:5" ht="13.5" thickBot="1" x14ac:dyDescent="0.35">
      <c r="A114" s="6" t="s">
        <v>5</v>
      </c>
      <c r="B114" s="13">
        <f>SUM(B112:B113)</f>
        <v>22833268</v>
      </c>
      <c r="C114" s="13">
        <f>SUM(C112:C113)</f>
        <v>0</v>
      </c>
      <c r="D114" s="13">
        <f>SUM(D112:D113)</f>
        <v>0</v>
      </c>
      <c r="E114" s="13">
        <f>SUM(E112:E113)</f>
        <v>8668329</v>
      </c>
    </row>
    <row r="115" spans="1:5" ht="13.5" thickTop="1" x14ac:dyDescent="0.3">
      <c r="A115" s="6"/>
      <c r="B115" s="10"/>
      <c r="C115" s="10"/>
      <c r="D115" s="10"/>
      <c r="E115" s="10"/>
    </row>
    <row r="116" spans="1:5" ht="13" x14ac:dyDescent="0.3">
      <c r="A116" s="6" t="s">
        <v>6</v>
      </c>
      <c r="B116" s="14">
        <v>-12191425</v>
      </c>
      <c r="C116" s="14">
        <v>-3652</v>
      </c>
      <c r="D116" s="14">
        <v>-1091</v>
      </c>
      <c r="E116" s="14">
        <v>0</v>
      </c>
    </row>
    <row r="117" spans="1:5" ht="13" x14ac:dyDescent="0.3">
      <c r="A117" s="6"/>
      <c r="B117" s="15"/>
      <c r="C117" s="15"/>
      <c r="D117" s="15"/>
      <c r="E117" s="15"/>
    </row>
    <row r="118" spans="1:5" ht="13.5" thickBot="1" x14ac:dyDescent="0.35">
      <c r="A118" s="6" t="s">
        <v>48</v>
      </c>
      <c r="B118" s="16">
        <f>+B116+B114+B110</f>
        <v>32954549</v>
      </c>
      <c r="C118" s="16">
        <f>+C116+C114+C110</f>
        <v>-93534</v>
      </c>
      <c r="D118" s="16">
        <f>+D116+D114+D110</f>
        <v>160796</v>
      </c>
      <c r="E118" s="16">
        <f>+E116+E114+E110</f>
        <v>12639917</v>
      </c>
    </row>
    <row r="119" spans="1:5" ht="13" thickTop="1" x14ac:dyDescent="0.25"/>
    <row r="120" spans="1:5" ht="13" x14ac:dyDescent="0.3">
      <c r="A120" s="6"/>
      <c r="B120" s="7" t="s">
        <v>9</v>
      </c>
      <c r="C120" s="7" t="s">
        <v>9</v>
      </c>
      <c r="D120" s="7" t="s">
        <v>9</v>
      </c>
      <c r="E120" s="7" t="s">
        <v>9</v>
      </c>
    </row>
    <row r="121" spans="1:5" ht="13" x14ac:dyDescent="0.3">
      <c r="A121" s="6"/>
      <c r="B121" s="7" t="s">
        <v>16</v>
      </c>
      <c r="C121" s="7" t="s">
        <v>16</v>
      </c>
      <c r="D121" s="7" t="s">
        <v>16</v>
      </c>
      <c r="E121" s="7" t="s">
        <v>16</v>
      </c>
    </row>
    <row r="122" spans="1:5" ht="13" x14ac:dyDescent="0.3">
      <c r="A122" s="6"/>
      <c r="B122" s="8" t="s">
        <v>40</v>
      </c>
      <c r="C122" s="8" t="s">
        <v>41</v>
      </c>
      <c r="D122" s="8" t="s">
        <v>42</v>
      </c>
      <c r="E122" s="8" t="s">
        <v>43</v>
      </c>
    </row>
    <row r="123" spans="1:5" ht="13" x14ac:dyDescent="0.3">
      <c r="A123" s="6" t="s">
        <v>0</v>
      </c>
      <c r="B123" s="9">
        <v>499376</v>
      </c>
      <c r="C123" s="9">
        <v>4169328</v>
      </c>
      <c r="D123" s="9">
        <v>3591380</v>
      </c>
      <c r="E123" s="9">
        <v>370709</v>
      </c>
    </row>
    <row r="124" spans="1:5" ht="13" x14ac:dyDescent="0.3">
      <c r="A124" s="6" t="s">
        <v>1</v>
      </c>
      <c r="B124" s="10">
        <v>794045</v>
      </c>
      <c r="C124" s="10">
        <v>7750676</v>
      </c>
      <c r="D124" s="10">
        <v>433503</v>
      </c>
      <c r="E124" s="10">
        <v>392921</v>
      </c>
    </row>
    <row r="125" spans="1:5" ht="13" x14ac:dyDescent="0.3">
      <c r="A125" s="6" t="s">
        <v>2</v>
      </c>
      <c r="B125" s="11">
        <v>0</v>
      </c>
      <c r="C125" s="11">
        <v>0</v>
      </c>
      <c r="D125" s="11">
        <v>-170521</v>
      </c>
      <c r="E125" s="11">
        <v>0</v>
      </c>
    </row>
    <row r="126" spans="1:5" ht="13" x14ac:dyDescent="0.3">
      <c r="A126" s="6"/>
      <c r="B126" s="10"/>
      <c r="C126" s="10"/>
      <c r="D126" s="10"/>
      <c r="E126" s="10"/>
    </row>
    <row r="127" spans="1:5" ht="13.5" thickBot="1" x14ac:dyDescent="0.35">
      <c r="A127" s="6" t="s">
        <v>8</v>
      </c>
      <c r="B127" s="12">
        <f>SUM(B124:B125)</f>
        <v>794045</v>
      </c>
      <c r="C127" s="12">
        <f>SUM(C124:C125)</f>
        <v>7750676</v>
      </c>
      <c r="D127" s="12">
        <f>SUM(D124:D125)</f>
        <v>262982</v>
      </c>
      <c r="E127" s="12">
        <f>SUM(E124:E125)</f>
        <v>392921</v>
      </c>
    </row>
    <row r="128" spans="1:5" ht="13.5" thickTop="1" x14ac:dyDescent="0.3">
      <c r="A128" s="6"/>
      <c r="B128" s="10"/>
      <c r="C128" s="10"/>
      <c r="D128" s="10"/>
      <c r="E128" s="10"/>
    </row>
    <row r="129" spans="1:5" ht="13" x14ac:dyDescent="0.3">
      <c r="A129" s="6" t="s">
        <v>3</v>
      </c>
      <c r="B129" s="10">
        <v>1258290</v>
      </c>
      <c r="C129" s="10">
        <v>4153504</v>
      </c>
      <c r="D129" s="10">
        <v>0</v>
      </c>
      <c r="E129" s="10">
        <v>86732</v>
      </c>
    </row>
    <row r="130" spans="1:5" ht="13" x14ac:dyDescent="0.3">
      <c r="A130" s="6" t="s">
        <v>4</v>
      </c>
      <c r="B130" s="11">
        <v>0</v>
      </c>
      <c r="C130" s="11">
        <v>0</v>
      </c>
      <c r="D130" s="11">
        <v>0</v>
      </c>
      <c r="E130" s="11">
        <v>0</v>
      </c>
    </row>
    <row r="131" spans="1:5" ht="13.5" thickBot="1" x14ac:dyDescent="0.35">
      <c r="A131" s="6" t="s">
        <v>5</v>
      </c>
      <c r="B131" s="13">
        <f>SUM(B129:B130)</f>
        <v>1258290</v>
      </c>
      <c r="C131" s="13">
        <f>SUM(C129:C130)</f>
        <v>4153504</v>
      </c>
      <c r="D131" s="13">
        <f>SUM(D129:D130)</f>
        <v>0</v>
      </c>
      <c r="E131" s="13">
        <f>SUM(E129:E130)</f>
        <v>86732</v>
      </c>
    </row>
    <row r="132" spans="1:5" ht="13.5" thickTop="1" x14ac:dyDescent="0.3">
      <c r="A132" s="6"/>
      <c r="B132" s="10"/>
      <c r="C132" s="10"/>
      <c r="D132" s="10"/>
      <c r="E132" s="10"/>
    </row>
    <row r="133" spans="1:5" ht="13" x14ac:dyDescent="0.3">
      <c r="A133" s="6" t="s">
        <v>6</v>
      </c>
      <c r="B133" s="14">
        <v>0</v>
      </c>
      <c r="C133" s="14">
        <v>0</v>
      </c>
      <c r="D133" s="14">
        <v>-2221122</v>
      </c>
      <c r="E133" s="14">
        <v>0</v>
      </c>
    </row>
    <row r="134" spans="1:5" ht="13" x14ac:dyDescent="0.3">
      <c r="A134" s="6"/>
      <c r="B134" s="15"/>
      <c r="C134" s="15"/>
      <c r="D134" s="15"/>
      <c r="E134" s="15"/>
    </row>
    <row r="135" spans="1:5" ht="13.5" thickBot="1" x14ac:dyDescent="0.35">
      <c r="A135" s="6" t="s">
        <v>48</v>
      </c>
      <c r="B135" s="16">
        <f>+B133+B131+B127</f>
        <v>2052335</v>
      </c>
      <c r="C135" s="16">
        <f>+C133+C131+C127</f>
        <v>11904180</v>
      </c>
      <c r="D135" s="16">
        <f>+D133+D131+D127</f>
        <v>-1958140</v>
      </c>
      <c r="E135" s="16">
        <f>+E133+E131+E127</f>
        <v>479653</v>
      </c>
    </row>
    <row r="136" spans="1:5" ht="13.5" thickTop="1" x14ac:dyDescent="0.3">
      <c r="A136" s="6"/>
      <c r="B136" s="10"/>
      <c r="C136" s="10"/>
      <c r="D136" s="10"/>
    </row>
    <row r="137" spans="1:5" ht="13" x14ac:dyDescent="0.3">
      <c r="A137" s="6"/>
      <c r="B137" s="7" t="s">
        <v>9</v>
      </c>
      <c r="C137" s="7" t="s">
        <v>9</v>
      </c>
      <c r="D137" s="7" t="s">
        <v>9</v>
      </c>
      <c r="E137" s="7" t="s">
        <v>9</v>
      </c>
    </row>
    <row r="138" spans="1:5" ht="13" x14ac:dyDescent="0.3">
      <c r="A138" s="6"/>
      <c r="B138" s="7" t="s">
        <v>16</v>
      </c>
      <c r="C138" s="7" t="s">
        <v>16</v>
      </c>
      <c r="D138" s="7" t="s">
        <v>16</v>
      </c>
      <c r="E138" s="7" t="s">
        <v>16</v>
      </c>
    </row>
    <row r="139" spans="1:5" ht="13" x14ac:dyDescent="0.3">
      <c r="A139" s="6"/>
      <c r="B139" s="8" t="s">
        <v>44</v>
      </c>
      <c r="C139" s="8" t="s">
        <v>45</v>
      </c>
      <c r="D139" s="8" t="s">
        <v>46</v>
      </c>
      <c r="E139" s="8" t="s">
        <v>47</v>
      </c>
    </row>
    <row r="140" spans="1:5" ht="13" x14ac:dyDescent="0.3">
      <c r="A140" s="6" t="s">
        <v>0</v>
      </c>
      <c r="B140" s="9">
        <v>6242918</v>
      </c>
      <c r="C140" s="9">
        <v>1620616</v>
      </c>
      <c r="D140" s="9">
        <v>28102913</v>
      </c>
      <c r="E140" s="9">
        <v>880829</v>
      </c>
    </row>
    <row r="141" spans="1:5" ht="13" x14ac:dyDescent="0.3">
      <c r="A141" s="6" t="s">
        <v>1</v>
      </c>
      <c r="B141" s="10">
        <v>13271506</v>
      </c>
      <c r="C141" s="10">
        <v>1877269</v>
      </c>
      <c r="D141" s="10">
        <v>45759459</v>
      </c>
      <c r="E141" s="10">
        <v>541199</v>
      </c>
    </row>
    <row r="142" spans="1:5" ht="13" x14ac:dyDescent="0.3">
      <c r="A142" s="6" t="s">
        <v>2</v>
      </c>
      <c r="B142" s="11">
        <v>0</v>
      </c>
      <c r="C142" s="11">
        <v>0</v>
      </c>
      <c r="D142" s="11">
        <v>-3551507</v>
      </c>
      <c r="E142" s="11">
        <v>0</v>
      </c>
    </row>
    <row r="143" spans="1:5" ht="13" x14ac:dyDescent="0.3">
      <c r="A143" s="6"/>
      <c r="B143" s="10"/>
      <c r="C143" s="10"/>
      <c r="D143" s="10"/>
      <c r="E143" s="10"/>
    </row>
    <row r="144" spans="1:5" ht="13.5" thickBot="1" x14ac:dyDescent="0.35">
      <c r="A144" s="6" t="s">
        <v>8</v>
      </c>
      <c r="B144" s="12">
        <f>SUM(B141:B142)</f>
        <v>13271506</v>
      </c>
      <c r="C144" s="12">
        <f>SUM(C141:C142)</f>
        <v>1877269</v>
      </c>
      <c r="D144" s="12">
        <f>SUM(D141:D142)</f>
        <v>42207952</v>
      </c>
      <c r="E144" s="12">
        <f>SUM(E141:E142)</f>
        <v>541199</v>
      </c>
    </row>
    <row r="145" spans="1:5" ht="13.5" thickTop="1" x14ac:dyDescent="0.3">
      <c r="A145" s="6"/>
      <c r="B145" s="10"/>
      <c r="C145" s="10"/>
      <c r="D145" s="10"/>
      <c r="E145" s="10"/>
    </row>
    <row r="146" spans="1:5" ht="13" x14ac:dyDescent="0.3">
      <c r="A146" s="6" t="s">
        <v>3</v>
      </c>
      <c r="B146" s="10">
        <v>2788689</v>
      </c>
      <c r="C146" s="10">
        <v>1390540</v>
      </c>
      <c r="D146" s="10">
        <v>38343729</v>
      </c>
      <c r="E146" s="10">
        <v>216446</v>
      </c>
    </row>
    <row r="147" spans="1:5" ht="13" x14ac:dyDescent="0.3">
      <c r="A147" s="6" t="s">
        <v>4</v>
      </c>
      <c r="B147" s="11">
        <v>0</v>
      </c>
      <c r="C147" s="11">
        <v>0</v>
      </c>
      <c r="D147" s="11">
        <v>0</v>
      </c>
      <c r="E147" s="11">
        <v>0</v>
      </c>
    </row>
    <row r="148" spans="1:5" ht="13.5" thickBot="1" x14ac:dyDescent="0.35">
      <c r="A148" s="6" t="s">
        <v>5</v>
      </c>
      <c r="B148" s="13">
        <f>SUM(B146:B147)</f>
        <v>2788689</v>
      </c>
      <c r="C148" s="13">
        <f>SUM(C146:C147)</f>
        <v>1390540</v>
      </c>
      <c r="D148" s="13">
        <f>SUM(D146:D147)</f>
        <v>38343729</v>
      </c>
      <c r="E148" s="13">
        <f>SUM(E146:E147)</f>
        <v>216446</v>
      </c>
    </row>
    <row r="149" spans="1:5" ht="13.5" thickTop="1" x14ac:dyDescent="0.3">
      <c r="A149" s="6"/>
      <c r="B149" s="10"/>
      <c r="C149" s="10"/>
      <c r="D149" s="10"/>
      <c r="E149" s="10"/>
    </row>
    <row r="150" spans="1:5" ht="13" x14ac:dyDescent="0.3">
      <c r="A150" s="6" t="s">
        <v>6</v>
      </c>
      <c r="B150" s="14">
        <v>-4349277</v>
      </c>
      <c r="C150" s="14">
        <v>0</v>
      </c>
      <c r="D150" s="14">
        <v>0</v>
      </c>
      <c r="E150" s="14">
        <v>0</v>
      </c>
    </row>
    <row r="151" spans="1:5" ht="13" x14ac:dyDescent="0.3">
      <c r="A151" s="6"/>
      <c r="B151" s="15"/>
      <c r="C151" s="15"/>
      <c r="D151" s="15"/>
      <c r="E151" s="15"/>
    </row>
    <row r="152" spans="1:5" ht="13.5" thickBot="1" x14ac:dyDescent="0.35">
      <c r="A152" s="6" t="s">
        <v>7</v>
      </c>
      <c r="B152" s="16">
        <f>+B150+B148+B144</f>
        <v>11710918</v>
      </c>
      <c r="C152" s="16">
        <f>+C150+C148+C144</f>
        <v>3267809</v>
      </c>
      <c r="D152" s="16">
        <f>+D150+D148+D144</f>
        <v>80551681</v>
      </c>
      <c r="E152" s="16">
        <f>+E150+E148+E144</f>
        <v>757645</v>
      </c>
    </row>
    <row r="153" spans="1:5" ht="13" thickTop="1" x14ac:dyDescent="0.25"/>
  </sheetData>
  <customSheetViews>
    <customSheetView guid="{20A7E217-DB3D-49CD-AC76-C90FB8B50719}" scale="80" showPageBreaks="1" fitToPage="1" printArea="1" view="pageBreakPreview" topLeftCell="A71">
      <selection activeCell="A15" sqref="A15:A17"/>
      <pageMargins left="0.5" right="0" top="1" bottom="0.5" header="0.5" footer="0.5"/>
      <pageSetup scale="41" orientation="portrait" r:id="rId1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0023AFD-74C1-4136-B36C-FB096E7269F1}" scale="80" showPageBreaks="1" fitToPage="1" printArea="1" view="pageBreakPreview" topLeftCell="A58">
      <selection activeCell="C16" sqref="C16"/>
      <pageMargins left="0.5" right="0" top="1" bottom="0.5" header="0.5" footer="0.5"/>
      <pageSetup scale="67" orientation="portrait" r:id="rId2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46B6B6A2-D022-47FD-B5C9-18EBED26002C}" scale="80" showPageBreaks="1" fitToPage="1" printArea="1" view="pageBreakPreview" topLeftCell="A16">
      <selection activeCell="E35" sqref="E35"/>
      <pageMargins left="0.5" right="0" top="1" bottom="0.5" header="0.5" footer="0.5"/>
      <pageSetup scale="70" orientation="portrait" r:id="rId3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E7B4C8A2-2EC8-4BEC-93FB-877E12EA5267}" scale="70" showPageBreaks="1" fitToPage="1" printArea="1" view="pageBreakPreview" showRuler="0">
      <selection activeCell="A2" sqref="A2"/>
      <pageMargins left="0.5" right="0" top="1" bottom="0.5" header="0.5" footer="0.5"/>
      <pageSetup scale="71" orientation="portrait" r:id="rId4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6C3411DE-83C0-4A23-816E-4C7E6D3EA22A}" scale="80" showPageBreaks="1" fitToPage="1" printArea="1" view="pageBreakPreview">
      <selection activeCell="B16" sqref="B16"/>
      <pageMargins left="0.5" right="0" top="1" bottom="0.5" header="0.5" footer="0.5"/>
      <pageSetup scale="71" orientation="portrait" r:id="rId5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61F8D9AF-0BEB-46EE-8882-38A3F74E8450}" scale="80" showPageBreaks="1" printArea="1" view="pageBreakPreview">
      <selection activeCell="A2" sqref="A2"/>
      <rowBreaks count="1" manualBreakCount="1">
        <brk id="57" max="3" man="1"/>
      </rowBreaks>
      <pageMargins left="0.5" right="0" top="1" bottom="1" header="0.5" footer="0.5"/>
      <pageSetup scale="85" orientation="portrait" r:id="rId6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680B4598-405C-44CA-8CFC-4FC2BA1C28BD}" scale="80" showPageBreaks="1" fitToPage="1" printArea="1" view="pageBreakPreview" topLeftCell="A29">
      <selection activeCell="D53" sqref="D53"/>
      <pageMargins left="0.5" right="0" top="1" bottom="0.5" header="0.5" footer="0.5"/>
      <pageSetup scale="55" orientation="portrait" r:id="rId7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7367E357-AA0F-4878-B4B5-331F9B54C1F2}" scale="80" showPageBreaks="1" fitToPage="1" printArea="1" view="pageBreakPreview">
      <selection activeCell="C17" sqref="C17"/>
      <pageMargins left="0.5" right="0" top="1" bottom="0.5" header="0.5" footer="0.5"/>
      <pageSetup scale="55" orientation="portrait" r:id="rId8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phoneticPr fontId="2" type="noConversion"/>
  <pageMargins left="0.5" right="0" top="1" bottom="0.5" header="0.5" footer="0.5"/>
  <pageSetup scale="34" orientation="portrait" r:id="rId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Themes 9.30.24</vt:lpstr>
      <vt:lpstr>'Themes 9.30.24'!Print_Area</vt:lpstr>
    </vt:vector>
  </TitlesOfParts>
  <Company>US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Sliga</dc:creator>
  <cp:lastModifiedBy>Sliga, Brandon J</cp:lastModifiedBy>
  <cp:lastPrinted>2024-10-07T21:09:49Z</cp:lastPrinted>
  <dcterms:created xsi:type="dcterms:W3CDTF">2009-04-07T14:58:55Z</dcterms:created>
  <dcterms:modified xsi:type="dcterms:W3CDTF">2025-12-26T23:00:06Z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0df1db-9955-4087-a541-42c2f5a9332e_Enabled">
    <vt:lpwstr>true</vt:lpwstr>
  </property>
  <property fmtid="{D5CDD505-2E9C-101B-9397-08002B2CF9AE}" pid="3" name="MSIP_Label_320df1db-9955-4087-a541-42c2f5a9332e_SetDate">
    <vt:lpwstr>2022-06-22T15:52:46Z</vt:lpwstr>
  </property>
  <property fmtid="{D5CDD505-2E9C-101B-9397-08002B2CF9AE}" pid="4" name="MSIP_Label_320df1db-9955-4087-a541-42c2f5a9332e_Method">
    <vt:lpwstr>Standard</vt:lpwstr>
  </property>
  <property fmtid="{D5CDD505-2E9C-101B-9397-08002B2CF9AE}" pid="5" name="MSIP_Label_320df1db-9955-4087-a541-42c2f5a9332e_Name">
    <vt:lpwstr>Confidential Information</vt:lpwstr>
  </property>
  <property fmtid="{D5CDD505-2E9C-101B-9397-08002B2CF9AE}" pid="6" name="MSIP_Label_320df1db-9955-4087-a541-42c2f5a9332e_SiteId">
    <vt:lpwstr>eef95730-77bf-4663-a55d-1ddff9335b5b</vt:lpwstr>
  </property>
  <property fmtid="{D5CDD505-2E9C-101B-9397-08002B2CF9AE}" pid="7" name="MSIP_Label_320df1db-9955-4087-a541-42c2f5a9332e_ActionId">
    <vt:lpwstr>b7771895-12db-4222-873f-e3f31801c121</vt:lpwstr>
  </property>
  <property fmtid="{D5CDD505-2E9C-101B-9397-08002B2CF9AE}" pid="8" name="MSIP_Label_320df1db-9955-4087-a541-42c2f5a9332e_ContentBits">
    <vt:lpwstr>0</vt:lpwstr>
  </property>
</Properties>
</file>